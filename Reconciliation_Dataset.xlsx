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ir\Desktop\Recconcilliation Dashboard Project\"/>
    </mc:Choice>
  </mc:AlternateContent>
  <xr:revisionPtr revIDLastSave="0" documentId="13_ncr:1_{F3FE6E4A-01F3-467F-A680-8F1AEAA05A0B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ystem_A" sheetId="1" r:id="rId1"/>
    <sheet name="System_B" sheetId="2" r:id="rId2"/>
    <sheet name="Reconciliation" sheetId="4" r:id="rId3"/>
    <sheet name="READM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A2" i="4" a="1"/>
  <c r="A2" i="4" s="1"/>
  <c r="C2" i="4" s="1"/>
  <c r="J4" i="2"/>
  <c r="C34" i="4" l="1"/>
  <c r="B16" i="4"/>
  <c r="B47" i="4"/>
  <c r="D47" i="4" s="1"/>
  <c r="B31" i="4"/>
  <c r="B15" i="4"/>
  <c r="D15" i="4" s="1"/>
  <c r="C59" i="4"/>
  <c r="C43" i="4"/>
  <c r="C27" i="4"/>
  <c r="C11" i="4"/>
  <c r="C45" i="4"/>
  <c r="B49" i="4"/>
  <c r="D49" i="4" s="1"/>
  <c r="E49" i="4" s="1"/>
  <c r="G49" i="4" s="1"/>
  <c r="C58" i="4"/>
  <c r="B61" i="4"/>
  <c r="C18" i="4"/>
  <c r="C29" i="4"/>
  <c r="C12" i="4"/>
  <c r="B2" i="4"/>
  <c r="C42" i="4"/>
  <c r="B13" i="4"/>
  <c r="C9" i="4"/>
  <c r="B60" i="4"/>
  <c r="B12" i="4"/>
  <c r="C40" i="4"/>
  <c r="C8" i="4"/>
  <c r="B11" i="4"/>
  <c r="C7" i="4"/>
  <c r="B58" i="4"/>
  <c r="D58" i="4" s="1"/>
  <c r="B42" i="4"/>
  <c r="D42" i="4" s="1"/>
  <c r="E42" i="4" s="1"/>
  <c r="G42" i="4" s="1"/>
  <c r="B26" i="4"/>
  <c r="D26" i="4" s="1"/>
  <c r="E26" i="4" s="1"/>
  <c r="G26" i="4" s="1"/>
  <c r="B10" i="4"/>
  <c r="C54" i="4"/>
  <c r="C38" i="4"/>
  <c r="C22" i="4"/>
  <c r="C6" i="4"/>
  <c r="E6" i="4" s="1"/>
  <c r="G6" i="4" s="1"/>
  <c r="B38" i="4"/>
  <c r="B22" i="4"/>
  <c r="B50" i="4"/>
  <c r="B17" i="4"/>
  <c r="B32" i="4"/>
  <c r="C44" i="4"/>
  <c r="B30" i="4"/>
  <c r="D30" i="4" s="1"/>
  <c r="C57" i="4"/>
  <c r="B44" i="4"/>
  <c r="C24" i="4"/>
  <c r="B27" i="4"/>
  <c r="C23" i="4"/>
  <c r="B57" i="4"/>
  <c r="D57" i="4" s="1"/>
  <c r="E57" i="4" s="1"/>
  <c r="G57" i="4" s="1"/>
  <c r="B41" i="4"/>
  <c r="D41" i="4" s="1"/>
  <c r="E41" i="4" s="1"/>
  <c r="G41" i="4" s="1"/>
  <c r="B25" i="4"/>
  <c r="B9" i="4"/>
  <c r="C53" i="4"/>
  <c r="C37" i="4"/>
  <c r="C21" i="4"/>
  <c r="C5" i="4"/>
  <c r="D6" i="4"/>
  <c r="C61" i="4"/>
  <c r="B48" i="4"/>
  <c r="D48" i="4" s="1"/>
  <c r="E48" i="4" s="1"/>
  <c r="G48" i="4" s="1"/>
  <c r="C60" i="4"/>
  <c r="B46" i="4"/>
  <c r="D46" i="4" s="1"/>
  <c r="E46" i="4" s="1"/>
  <c r="G46" i="4" s="1"/>
  <c r="C26" i="4"/>
  <c r="B29" i="4"/>
  <c r="C25" i="4"/>
  <c r="C56" i="4"/>
  <c r="B43" i="4"/>
  <c r="D43" i="4" s="1"/>
  <c r="E43" i="4" s="1"/>
  <c r="G43" i="4" s="1"/>
  <c r="C39" i="4"/>
  <c r="B56" i="4"/>
  <c r="D56" i="4" s="1"/>
  <c r="B40" i="4"/>
  <c r="D40" i="4" s="1"/>
  <c r="E40" i="4" s="1"/>
  <c r="G40" i="4" s="1"/>
  <c r="B24" i="4"/>
  <c r="B8" i="4"/>
  <c r="D8" i="4" s="1"/>
  <c r="C52" i="4"/>
  <c r="C36" i="4"/>
  <c r="C20" i="4"/>
  <c r="C4" i="4"/>
  <c r="C50" i="4"/>
  <c r="B33" i="4"/>
  <c r="D33" i="4" s="1"/>
  <c r="E33" i="4" s="1"/>
  <c r="G33" i="4" s="1"/>
  <c r="C13" i="4"/>
  <c r="C28" i="4"/>
  <c r="B14" i="4"/>
  <c r="D14" i="4" s="1"/>
  <c r="C10" i="4"/>
  <c r="B45" i="4"/>
  <c r="C41" i="4"/>
  <c r="B28" i="4"/>
  <c r="B59" i="4"/>
  <c r="C55" i="4"/>
  <c r="B55" i="4"/>
  <c r="B39" i="4"/>
  <c r="B23" i="4"/>
  <c r="B7" i="4"/>
  <c r="C51" i="4"/>
  <c r="C35" i="4"/>
  <c r="C19" i="4"/>
  <c r="C3" i="4"/>
  <c r="B21" i="4"/>
  <c r="B54" i="4"/>
  <c r="B53" i="4"/>
  <c r="B5" i="4"/>
  <c r="C17" i="4"/>
  <c r="B52" i="4"/>
  <c r="D52" i="4" s="1"/>
  <c r="E52" i="4" s="1"/>
  <c r="G52" i="4" s="1"/>
  <c r="B36" i="4"/>
  <c r="B20" i="4"/>
  <c r="B4" i="4"/>
  <c r="C48" i="4"/>
  <c r="C32" i="4"/>
  <c r="C16" i="4"/>
  <c r="B37" i="4"/>
  <c r="C49" i="4"/>
  <c r="C33" i="4"/>
  <c r="B51" i="4"/>
  <c r="B35" i="4"/>
  <c r="B19" i="4"/>
  <c r="D19" i="4" s="1"/>
  <c r="B3" i="4"/>
  <c r="D3" i="4" s="1"/>
  <c r="E3" i="4" s="1"/>
  <c r="G3" i="4" s="1"/>
  <c r="C47" i="4"/>
  <c r="C31" i="4"/>
  <c r="C15" i="4"/>
  <c r="B34" i="4"/>
  <c r="D34" i="4" s="1"/>
  <c r="E34" i="4" s="1"/>
  <c r="G34" i="4" s="1"/>
  <c r="B18" i="4"/>
  <c r="D18" i="4" s="1"/>
  <c r="E18" i="4" s="1"/>
  <c r="G18" i="4" s="1"/>
  <c r="C46" i="4"/>
  <c r="C30" i="4"/>
  <c r="C14" i="4"/>
  <c r="D53" i="4" l="1"/>
  <c r="E53" i="4" s="1"/>
  <c r="G53" i="4" s="1"/>
  <c r="E19" i="4"/>
  <c r="G19" i="4" s="1"/>
  <c r="E54" i="4"/>
  <c r="G54" i="4" s="1"/>
  <c r="D54" i="4"/>
  <c r="E14" i="4"/>
  <c r="G14" i="4" s="1"/>
  <c r="D10" i="4"/>
  <c r="E10" i="4" s="1"/>
  <c r="G10" i="4" s="1"/>
  <c r="D45" i="4"/>
  <c r="E45" i="4" s="1"/>
  <c r="G45" i="4" s="1"/>
  <c r="D27" i="4"/>
  <c r="E27" i="4" s="1"/>
  <c r="G27" i="4" s="1"/>
  <c r="D51" i="4"/>
  <c r="E51" i="4" s="1"/>
  <c r="G51" i="4" s="1"/>
  <c r="D37" i="4"/>
  <c r="E37" i="4" s="1"/>
  <c r="G37" i="4" s="1"/>
  <c r="E30" i="4"/>
  <c r="G30" i="4" s="1"/>
  <c r="D11" i="4"/>
  <c r="E11" i="4" s="1"/>
  <c r="G11" i="4" s="1"/>
  <c r="D23" i="4"/>
  <c r="E23" i="4" s="1"/>
  <c r="G23" i="4" s="1"/>
  <c r="E32" i="4"/>
  <c r="G32" i="4"/>
  <c r="D32" i="4"/>
  <c r="D61" i="4"/>
  <c r="E61" i="4" s="1"/>
  <c r="G61" i="4" s="1"/>
  <c r="D44" i="4"/>
  <c r="E44" i="4" s="1"/>
  <c r="G44" i="4" s="1"/>
  <c r="D39" i="4"/>
  <c r="E39" i="4" s="1"/>
  <c r="G39" i="4" s="1"/>
  <c r="D17" i="4"/>
  <c r="E17" i="4" s="1"/>
  <c r="G17" i="4" s="1"/>
  <c r="D12" i="4"/>
  <c r="E12" i="4" s="1"/>
  <c r="G12" i="4" s="1"/>
  <c r="D35" i="4"/>
  <c r="E35" i="4" s="1"/>
  <c r="G35" i="4" s="1"/>
  <c r="E58" i="4"/>
  <c r="G58" i="4" s="1"/>
  <c r="D7" i="4"/>
  <c r="E7" i="4"/>
  <c r="G7" i="4" s="1"/>
  <c r="D4" i="4"/>
  <c r="E4" i="4" s="1"/>
  <c r="G4" i="4" s="1"/>
  <c r="D55" i="4"/>
  <c r="E55" i="4" s="1"/>
  <c r="G55" i="4" s="1"/>
  <c r="E8" i="4"/>
  <c r="G8" i="4" s="1"/>
  <c r="D50" i="4"/>
  <c r="E50" i="4" s="1"/>
  <c r="G50" i="4" s="1"/>
  <c r="D60" i="4"/>
  <c r="E60" i="4" s="1"/>
  <c r="G60" i="4" s="1"/>
  <c r="E15" i="4"/>
  <c r="G15" i="4" s="1"/>
  <c r="E20" i="4"/>
  <c r="G20" i="4"/>
  <c r="D20" i="4"/>
  <c r="D24" i="4"/>
  <c r="E24" i="4" s="1"/>
  <c r="G24" i="4" s="1"/>
  <c r="D22" i="4"/>
  <c r="E22" i="4" s="1"/>
  <c r="G22" i="4" s="1"/>
  <c r="D31" i="4"/>
  <c r="E31" i="4" s="1"/>
  <c r="G31" i="4" s="1"/>
  <c r="D36" i="4"/>
  <c r="E36" i="4" s="1"/>
  <c r="G36" i="4" s="1"/>
  <c r="D38" i="4"/>
  <c r="E38" i="4" s="1"/>
  <c r="G38" i="4" s="1"/>
  <c r="D13" i="4"/>
  <c r="E13" i="4" s="1"/>
  <c r="G13" i="4" s="1"/>
  <c r="E47" i="4"/>
  <c r="G47" i="4" s="1"/>
  <c r="D21" i="4"/>
  <c r="E21" i="4" s="1"/>
  <c r="G21" i="4" s="1"/>
  <c r="D28" i="4"/>
  <c r="E28" i="4"/>
  <c r="G28" i="4" s="1"/>
  <c r="D9" i="4"/>
  <c r="G9" i="4"/>
  <c r="E9" i="4"/>
  <c r="D16" i="4"/>
  <c r="E16" i="4" s="1"/>
  <c r="G16" i="4" s="1"/>
  <c r="D5" i="4"/>
  <c r="E5" i="4" s="1"/>
  <c r="G5" i="4" s="1"/>
  <c r="D29" i="4"/>
  <c r="E29" i="4" s="1"/>
  <c r="G29" i="4" s="1"/>
  <c r="D59" i="4"/>
  <c r="E59" i="4" s="1"/>
  <c r="G59" i="4" s="1"/>
  <c r="E56" i="4"/>
  <c r="G56" i="4" s="1"/>
  <c r="D25" i="4"/>
  <c r="E25" i="4"/>
  <c r="G25" i="4" s="1"/>
  <c r="D2" i="4"/>
  <c r="E2" i="4"/>
  <c r="G2" i="4" l="1"/>
  <c r="H2" i="4" l="1"/>
  <c r="J2" i="4"/>
  <c r="I2" i="4"/>
  <c r="K2" i="4" a="1"/>
  <c r="K2" i="4" s="1"/>
  <c r="L2" i="4" a="1"/>
  <c r="L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<sst xmlns="http://schemas.openxmlformats.org/spreadsheetml/2006/main" count="639" uniqueCount="171">
  <si>
    <t>SYSTEM A — Core Banking Ledger</t>
  </si>
  <si>
    <t>Source: Core Banking System  |  Extract Date: 31/03/2024  |  Period: Q1 2024</t>
  </si>
  <si>
    <t>Transaction ID</t>
  </si>
  <si>
    <t>Value Date</t>
  </si>
  <si>
    <t>Counterparty</t>
  </si>
  <si>
    <t>Transaction Type</t>
  </si>
  <si>
    <t>Amount</t>
  </si>
  <si>
    <t>Currency</t>
  </si>
  <si>
    <t>TXN-1001</t>
  </si>
  <si>
    <t>23/03/2024</t>
  </si>
  <si>
    <t>HSBC</t>
  </si>
  <si>
    <t>Receipt</t>
  </si>
  <si>
    <t>USD</t>
  </si>
  <si>
    <t>TXN-1002</t>
  </si>
  <si>
    <t>30/01/2024</t>
  </si>
  <si>
    <t>Lloyds</t>
  </si>
  <si>
    <t>Equity Trade</t>
  </si>
  <si>
    <t>EUR</t>
  </si>
  <si>
    <t>TXN-1003</t>
  </si>
  <si>
    <t>13/01/2024</t>
  </si>
  <si>
    <t>BNP Paribas</t>
  </si>
  <si>
    <t>Payment</t>
  </si>
  <si>
    <t>GBP</t>
  </si>
  <si>
    <t>TXN-1004</t>
  </si>
  <si>
    <t>29/01/2024</t>
  </si>
  <si>
    <t>NatWest</t>
  </si>
  <si>
    <t>TXN-1005</t>
  </si>
  <si>
    <t>27/01/2024</t>
  </si>
  <si>
    <t>Deutsche Bank</t>
  </si>
  <si>
    <t>TXN-1006</t>
  </si>
  <si>
    <t>06/02/2024</t>
  </si>
  <si>
    <t>Barclays</t>
  </si>
  <si>
    <t>Bond Settlement</t>
  </si>
  <si>
    <t>TXN-1007</t>
  </si>
  <si>
    <t>14/02/2024</t>
  </si>
  <si>
    <t>Santander</t>
  </si>
  <si>
    <t>TXN-1008</t>
  </si>
  <si>
    <t>JP Morgan</t>
  </si>
  <si>
    <t>TXN-1009</t>
  </si>
  <si>
    <t>04/02/2024</t>
  </si>
  <si>
    <t>TXN-1010</t>
  </si>
  <si>
    <t>19/02/2024</t>
  </si>
  <si>
    <t>TXN-1011</t>
  </si>
  <si>
    <t>17/02/2024</t>
  </si>
  <si>
    <t>TXN-1012</t>
  </si>
  <si>
    <t>26/03/2024</t>
  </si>
  <si>
    <t>TXN-1013</t>
  </si>
  <si>
    <t>14/01/2024</t>
  </si>
  <si>
    <t>FX Trade</t>
  </si>
  <si>
    <t>TXN-1014</t>
  </si>
  <si>
    <t>22/01/2024</t>
  </si>
  <si>
    <t>Goldman Sachs</t>
  </si>
  <si>
    <t>TXN-1015</t>
  </si>
  <si>
    <t>31/03/2024</t>
  </si>
  <si>
    <t>TXN-1016</t>
  </si>
  <si>
    <t>02/02/2024</t>
  </si>
  <si>
    <t>TXN-1017</t>
  </si>
  <si>
    <t>TXN-1018</t>
  </si>
  <si>
    <t>06/01/2024</t>
  </si>
  <si>
    <t>TXN-1019</t>
  </si>
  <si>
    <t>14/03/2024</t>
  </si>
  <si>
    <t>TXN-1020</t>
  </si>
  <si>
    <t>24/03/2024</t>
  </si>
  <si>
    <t>Citibank</t>
  </si>
  <si>
    <t>TXN-1021</t>
  </si>
  <si>
    <t>13/03/2024</t>
  </si>
  <si>
    <t>TXN-1022</t>
  </si>
  <si>
    <t>16/03/2024</t>
  </si>
  <si>
    <t>TXN-1023</t>
  </si>
  <si>
    <t>05/03/2024</t>
  </si>
  <si>
    <t>TXN-1024</t>
  </si>
  <si>
    <t>22/03/2024</t>
  </si>
  <si>
    <t>TXN-1025</t>
  </si>
  <si>
    <t>10/01/2024</t>
  </si>
  <si>
    <t>TXN-1026</t>
  </si>
  <si>
    <t>03/02/2024</t>
  </si>
  <si>
    <t>TXN-1027</t>
  </si>
  <si>
    <t>29/03/2024</t>
  </si>
  <si>
    <t>TXN-1028</t>
  </si>
  <si>
    <t>16/01/2024</t>
  </si>
  <si>
    <t>TXN-1029</t>
  </si>
  <si>
    <t>TXN-1030</t>
  </si>
  <si>
    <t>TXN-1031</t>
  </si>
  <si>
    <t>TXN-1032</t>
  </si>
  <si>
    <t>09/03/2024</t>
  </si>
  <si>
    <t>TXN-1033</t>
  </si>
  <si>
    <t>TXN-1034</t>
  </si>
  <si>
    <t>09/01/2024</t>
  </si>
  <si>
    <t>TXN-1035</t>
  </si>
  <si>
    <t>04/03/2024</t>
  </si>
  <si>
    <t>TXN-1036</t>
  </si>
  <si>
    <t>18/01/2024</t>
  </si>
  <si>
    <t>TXN-1037</t>
  </si>
  <si>
    <t>TXN-1038</t>
  </si>
  <si>
    <t>30/03/2024</t>
  </si>
  <si>
    <t>TXN-1039</t>
  </si>
  <si>
    <t>27/02/2024</t>
  </si>
  <si>
    <t>TXN-1040</t>
  </si>
  <si>
    <t>TXN-1041</t>
  </si>
  <si>
    <t>17/03/2024</t>
  </si>
  <si>
    <t>TXN-1042</t>
  </si>
  <si>
    <t>31/01/2024</t>
  </si>
  <si>
    <t>TXN-1043</t>
  </si>
  <si>
    <t>07/03/2024</t>
  </si>
  <si>
    <t>TXN-1044</t>
  </si>
  <si>
    <t>11/03/2024</t>
  </si>
  <si>
    <t>TXN-1045</t>
  </si>
  <si>
    <t>02/03/2024</t>
  </si>
  <si>
    <t>TXN-1046</t>
  </si>
  <si>
    <t>TXN-1047</t>
  </si>
  <si>
    <t>23/02/2024</t>
  </si>
  <si>
    <t>TXN-1048</t>
  </si>
  <si>
    <t>TXN-1049</t>
  </si>
  <si>
    <t>26/01/2024</t>
  </si>
  <si>
    <t>TXN-1050</t>
  </si>
  <si>
    <t>25/01/2024</t>
  </si>
  <si>
    <t>TXN-1051</t>
  </si>
  <si>
    <t>12/03/2024</t>
  </si>
  <si>
    <t>TXN-1052</t>
  </si>
  <si>
    <t>TXN-1053</t>
  </si>
  <si>
    <t>TXN-1054</t>
  </si>
  <si>
    <t>02/01/2024</t>
  </si>
  <si>
    <t>TXN-1055</t>
  </si>
  <si>
    <t>25/02/2024</t>
  </si>
  <si>
    <t>TXN-1056</t>
  </si>
  <si>
    <t>TXN-1057</t>
  </si>
  <si>
    <t>TXN-1058</t>
  </si>
  <si>
    <t>TXN-1059</t>
  </si>
  <si>
    <t>TXN-1060</t>
  </si>
  <si>
    <t>18/03/2024</t>
  </si>
  <si>
    <t>SYSTEM B — Treasury Management System</t>
  </si>
  <si>
    <t>Source: Treasury Management System  |  Extract Date: 31/03/2024  |  Period: Q1 2024</t>
  </si>
  <si>
    <t>05/02/2024</t>
  </si>
  <si>
    <t>DATASET README — Reconciliation Project</t>
  </si>
  <si>
    <t>PURPOSE</t>
  </si>
  <si>
    <t>Simulated dual-system transaction dataset for a reconciliation dashboard project.</t>
  </si>
  <si>
    <t xml:space="preserve">          Mirrors real-world scenarios from financial services implementations.</t>
  </si>
  <si>
    <t>SYSTEM A</t>
  </si>
  <si>
    <t>Core Banking Ledger — 60 transactions, Q1 2024</t>
  </si>
  <si>
    <t>SYSTEM B</t>
  </si>
  <si>
    <t>Treasury Management System — 57 transactions (3 missing)</t>
  </si>
  <si>
    <t>MISMATCHES</t>
  </si>
  <si>
    <t>The following deliberate breaks have been introduced:</t>
  </si>
  <si>
    <t>MISSING (3)</t>
  </si>
  <si>
    <t>TXN-1008, TXN-1019, TXN-1031 exist in System A but NOT in System B</t>
  </si>
  <si>
    <t>AMOUNT (5)</t>
  </si>
  <si>
    <t>TXN-1005, TXN-1012, TXN-1023, TXN-1037, TXN-1048 — amounts differ slightly</t>
  </si>
  <si>
    <t>DATE (2)</t>
  </si>
  <si>
    <t>TXN-1003, TXN-1044 — value date differs between systems</t>
  </si>
  <si>
    <t>COUNTERPTY</t>
  </si>
  <si>
    <t>TXN-1027 — counterparty name differs between systems</t>
  </si>
  <si>
    <t>TOTAL</t>
  </si>
  <si>
    <t>11 breaks out of 60 transactions = ~18.3% break rate</t>
  </si>
  <si>
    <t>SQL USE</t>
  </si>
  <si>
    <t>Load both sheets into a SQLite/PostgreSQL DB as tables system_a and system_b</t>
  </si>
  <si>
    <t>Then write queries to: find missing records, compare amounts, calculate match rate</t>
  </si>
  <si>
    <t>POWER BI</t>
  </si>
  <si>
    <t>Connect Power BI Desktop to this file, load both sheets, use Power Query to merge</t>
  </si>
  <si>
    <t>Build KPI cards, mismatch tables, trend charts from the SQL or PQ output</t>
  </si>
  <si>
    <t>In System B?</t>
  </si>
  <si>
    <t>Amount (A)</t>
  </si>
  <si>
    <t>Amount (B)</t>
  </si>
  <si>
    <t>Difference</t>
  </si>
  <si>
    <t>Break Type</t>
  </si>
  <si>
    <t>Transaction ID (SYSTEM A)</t>
  </si>
  <si>
    <t xml:space="preserve">Total Breaks </t>
  </si>
  <si>
    <t xml:space="preserve">Match Rate  </t>
  </si>
  <si>
    <t xml:space="preserve">Break Rate % </t>
  </si>
  <si>
    <t>Total Absolute Difference</t>
  </si>
  <si>
    <t>Largest Single Mismatch</t>
  </si>
  <si>
    <t>Difference (Number)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</si>
</sst>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1F3864"/>
      <name val="Arial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7B2D8B"/>
      </patternFill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0" fontId="7" fillId="4" borderId="2" applyNumberFormat="0" applyAlignment="0" applyProtection="0"/>
    <xf numFmtId="0" fontId="8" fillId="7" borderId="0" applyNumberFormat="0" applyBorder="0" applyAlignment="0" applyProtection="0"/>
  </cellStyleXfs>
  <cellXfs count="17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4" fontId="0" fillId="0" borderId="0" xfId="0" applyNumberFormat="1"/>
    <xf numFmtId="0" fontId="7" fillId="4" borderId="2" xfId="2" applyAlignment="1">
      <alignment horizontal="left" vertical="center" wrapText="1"/>
    </xf>
    <xf numFmtId="0" fontId="8" fillId="7" borderId="2" xfId="3" applyBorder="1" applyAlignment="1">
      <alignment horizontal="left" vertical="center" wrapText="1"/>
    </xf>
    <xf numFmtId="0" fontId="0" fillId="0" borderId="0" xfId="1" applyNumberFormat="1" applyFont="1"/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4">
    <cellStyle name="Accent1" xfId="3" builtinId="29"/>
    <cellStyle name="Calculation" xfId="2" builtinId="22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123825</xdr:colOff>
      <xdr:row>3</xdr:row>
      <xdr:rowOff>161925</xdr:rowOff>
    </xdr:from>
    <xdr:to>
      <xdr:col>13</xdr:col>
      <xdr:colOff>239214</xdr:colOff>
      <xdr:row>26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6A3056-4861-6052-D563-118C2DC27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10425" y="923925"/>
          <a:ext cx="7802064" cy="42582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workbookViewId="0">
      <selection activeCell="A4" sqref="A4"/>
    </sheetView>
  </sheetViews>
  <sheetFormatPr defaultRowHeight="15" x14ac:dyDescent="0.25"/>
  <cols>
    <col min="1" max="1" width="16" customWidth="1"/>
    <col min="2" max="2" width="13" customWidth="1"/>
    <col min="3" max="3" width="18" customWidth="1"/>
    <col min="4" max="4" width="20" customWidth="1"/>
    <col min="5" max="5" width="16" customWidth="1"/>
    <col min="6" max="6" width="11" customWidth="1"/>
  </cols>
  <sheetData>
    <row r="1" spans="1:6" ht="27.95" customHeight="1" x14ac:dyDescent="0.25">
      <c r="A1" s="15" t="s">
        <v>0</v>
      </c>
      <c r="B1" s="14"/>
      <c r="C1" s="14"/>
      <c r="D1" s="14"/>
      <c r="E1" s="14"/>
      <c r="F1" s="14"/>
    </row>
    <row r="2" spans="1:6" ht="15.95" customHeight="1" x14ac:dyDescent="0.25">
      <c r="A2" s="13" t="s">
        <v>1</v>
      </c>
      <c r="B2" s="14"/>
      <c r="C2" s="14"/>
      <c r="D2" s="14"/>
      <c r="E2" s="14"/>
      <c r="F2" s="14"/>
    </row>
    <row r="3" spans="1:6" ht="21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25">
      <c r="A4" s="2" t="s">
        <v>8</v>
      </c>
      <c r="B4" s="2" t="s">
        <v>9</v>
      </c>
      <c r="C4" s="2" t="s">
        <v>10</v>
      </c>
      <c r="D4" s="2" t="s">
        <v>11</v>
      </c>
      <c r="E4" s="3">
        <v>17380.32</v>
      </c>
      <c r="F4" s="2" t="s">
        <v>12</v>
      </c>
    </row>
    <row r="5" spans="1:6" x14ac:dyDescent="0.25">
      <c r="A5" s="4" t="s">
        <v>13</v>
      </c>
      <c r="B5" s="4" t="s">
        <v>14</v>
      </c>
      <c r="C5" s="4" t="s">
        <v>15</v>
      </c>
      <c r="D5" s="4" t="s">
        <v>16</v>
      </c>
      <c r="E5" s="5">
        <v>369553.25</v>
      </c>
      <c r="F5" s="4" t="s">
        <v>17</v>
      </c>
    </row>
    <row r="6" spans="1:6" x14ac:dyDescent="0.25">
      <c r="A6" s="2" t="s">
        <v>18</v>
      </c>
      <c r="B6" s="2" t="s">
        <v>19</v>
      </c>
      <c r="C6" s="2" t="s">
        <v>20</v>
      </c>
      <c r="D6" s="2" t="s">
        <v>21</v>
      </c>
      <c r="E6" s="3">
        <v>213851.3</v>
      </c>
      <c r="F6" s="2" t="s">
        <v>22</v>
      </c>
    </row>
    <row r="7" spans="1:6" x14ac:dyDescent="0.25">
      <c r="A7" s="4" t="s">
        <v>23</v>
      </c>
      <c r="B7" s="4" t="s">
        <v>24</v>
      </c>
      <c r="C7" s="4" t="s">
        <v>25</v>
      </c>
      <c r="D7" s="4" t="s">
        <v>16</v>
      </c>
      <c r="E7" s="5">
        <v>255150.87</v>
      </c>
      <c r="F7" s="4" t="s">
        <v>22</v>
      </c>
    </row>
    <row r="8" spans="1:6" x14ac:dyDescent="0.25">
      <c r="A8" s="2" t="s">
        <v>26</v>
      </c>
      <c r="B8" s="2" t="s">
        <v>27</v>
      </c>
      <c r="C8" s="2" t="s">
        <v>28</v>
      </c>
      <c r="D8" s="2" t="s">
        <v>16</v>
      </c>
      <c r="E8" s="3">
        <v>212662.31</v>
      </c>
      <c r="F8" s="2" t="s">
        <v>12</v>
      </c>
    </row>
    <row r="9" spans="1:6" x14ac:dyDescent="0.25">
      <c r="A9" s="4" t="s">
        <v>29</v>
      </c>
      <c r="B9" s="4" t="s">
        <v>30</v>
      </c>
      <c r="C9" s="4" t="s">
        <v>31</v>
      </c>
      <c r="D9" s="4" t="s">
        <v>32</v>
      </c>
      <c r="E9" s="5">
        <v>380609.65</v>
      </c>
      <c r="F9" s="4" t="s">
        <v>22</v>
      </c>
    </row>
    <row r="10" spans="1:6" x14ac:dyDescent="0.25">
      <c r="A10" s="2" t="s">
        <v>33</v>
      </c>
      <c r="B10" s="2" t="s">
        <v>34</v>
      </c>
      <c r="C10" s="2" t="s">
        <v>35</v>
      </c>
      <c r="D10" s="2" t="s">
        <v>21</v>
      </c>
      <c r="E10" s="3">
        <v>81962.350000000006</v>
      </c>
      <c r="F10" s="2" t="s">
        <v>12</v>
      </c>
    </row>
    <row r="11" spans="1:6" x14ac:dyDescent="0.25">
      <c r="A11" s="4" t="s">
        <v>36</v>
      </c>
      <c r="B11" s="4" t="s">
        <v>19</v>
      </c>
      <c r="C11" s="4" t="s">
        <v>37</v>
      </c>
      <c r="D11" s="4" t="s">
        <v>16</v>
      </c>
      <c r="E11" s="5">
        <v>52874.61</v>
      </c>
      <c r="F11" s="4" t="s">
        <v>12</v>
      </c>
    </row>
    <row r="12" spans="1:6" x14ac:dyDescent="0.25">
      <c r="A12" s="2" t="s">
        <v>38</v>
      </c>
      <c r="B12" s="2" t="s">
        <v>39</v>
      </c>
      <c r="C12" s="2" t="s">
        <v>31</v>
      </c>
      <c r="D12" s="2" t="s">
        <v>21</v>
      </c>
      <c r="E12" s="3">
        <v>366217.23</v>
      </c>
      <c r="F12" s="2" t="s">
        <v>17</v>
      </c>
    </row>
    <row r="13" spans="1:6" x14ac:dyDescent="0.25">
      <c r="A13" s="4" t="s">
        <v>40</v>
      </c>
      <c r="B13" s="4" t="s">
        <v>41</v>
      </c>
      <c r="C13" s="4" t="s">
        <v>10</v>
      </c>
      <c r="D13" s="4" t="s">
        <v>16</v>
      </c>
      <c r="E13" s="5">
        <v>278260.11</v>
      </c>
      <c r="F13" s="4" t="s">
        <v>17</v>
      </c>
    </row>
    <row r="14" spans="1:6" x14ac:dyDescent="0.25">
      <c r="A14" s="2" t="s">
        <v>42</v>
      </c>
      <c r="B14" s="2" t="s">
        <v>43</v>
      </c>
      <c r="C14" s="2" t="s">
        <v>20</v>
      </c>
      <c r="D14" s="2" t="s">
        <v>21</v>
      </c>
      <c r="E14" s="3">
        <v>100182.85</v>
      </c>
      <c r="F14" s="2" t="s">
        <v>22</v>
      </c>
    </row>
    <row r="15" spans="1:6" x14ac:dyDescent="0.25">
      <c r="A15" s="4" t="s">
        <v>44</v>
      </c>
      <c r="B15" s="4" t="s">
        <v>45</v>
      </c>
      <c r="C15" s="4" t="s">
        <v>25</v>
      </c>
      <c r="D15" s="4" t="s">
        <v>11</v>
      </c>
      <c r="E15" s="5">
        <v>387668.83</v>
      </c>
      <c r="F15" s="4" t="s">
        <v>22</v>
      </c>
    </row>
    <row r="16" spans="1:6" x14ac:dyDescent="0.25">
      <c r="A16" s="2" t="s">
        <v>46</v>
      </c>
      <c r="B16" s="2" t="s">
        <v>47</v>
      </c>
      <c r="C16" s="2" t="s">
        <v>37</v>
      </c>
      <c r="D16" s="2" t="s">
        <v>48</v>
      </c>
      <c r="E16" s="3">
        <v>142596.93</v>
      </c>
      <c r="F16" s="2" t="s">
        <v>17</v>
      </c>
    </row>
    <row r="17" spans="1:6" x14ac:dyDescent="0.25">
      <c r="A17" s="4" t="s">
        <v>49</v>
      </c>
      <c r="B17" s="4" t="s">
        <v>50</v>
      </c>
      <c r="C17" s="4" t="s">
        <v>51</v>
      </c>
      <c r="D17" s="4" t="s">
        <v>48</v>
      </c>
      <c r="E17" s="5">
        <v>180859</v>
      </c>
      <c r="F17" s="4" t="s">
        <v>17</v>
      </c>
    </row>
    <row r="18" spans="1:6" x14ac:dyDescent="0.25">
      <c r="A18" s="2" t="s">
        <v>52</v>
      </c>
      <c r="B18" s="2" t="s">
        <v>53</v>
      </c>
      <c r="C18" s="2" t="s">
        <v>10</v>
      </c>
      <c r="D18" s="2" t="s">
        <v>16</v>
      </c>
      <c r="E18" s="3">
        <v>306519.84999999998</v>
      </c>
      <c r="F18" s="2" t="s">
        <v>22</v>
      </c>
    </row>
    <row r="19" spans="1:6" x14ac:dyDescent="0.25">
      <c r="A19" s="4" t="s">
        <v>54</v>
      </c>
      <c r="B19" s="4" t="s">
        <v>55</v>
      </c>
      <c r="C19" s="4" t="s">
        <v>15</v>
      </c>
      <c r="D19" s="4" t="s">
        <v>16</v>
      </c>
      <c r="E19" s="5">
        <v>233818.8</v>
      </c>
      <c r="F19" s="4" t="s">
        <v>12</v>
      </c>
    </row>
    <row r="20" spans="1:6" x14ac:dyDescent="0.25">
      <c r="A20" s="2" t="s">
        <v>56</v>
      </c>
      <c r="B20" s="2" t="s">
        <v>14</v>
      </c>
      <c r="C20" s="2" t="s">
        <v>51</v>
      </c>
      <c r="D20" s="2" t="s">
        <v>11</v>
      </c>
      <c r="E20" s="3">
        <v>422211.7</v>
      </c>
      <c r="F20" s="2" t="s">
        <v>22</v>
      </c>
    </row>
    <row r="21" spans="1:6" x14ac:dyDescent="0.25">
      <c r="A21" s="4" t="s">
        <v>57</v>
      </c>
      <c r="B21" s="4" t="s">
        <v>58</v>
      </c>
      <c r="C21" s="4" t="s">
        <v>51</v>
      </c>
      <c r="D21" s="4" t="s">
        <v>11</v>
      </c>
      <c r="E21" s="5">
        <v>203576.57</v>
      </c>
      <c r="F21" s="4" t="s">
        <v>22</v>
      </c>
    </row>
    <row r="22" spans="1:6" x14ac:dyDescent="0.25">
      <c r="A22" s="2" t="s">
        <v>59</v>
      </c>
      <c r="B22" s="2" t="s">
        <v>60</v>
      </c>
      <c r="C22" s="2" t="s">
        <v>51</v>
      </c>
      <c r="D22" s="2" t="s">
        <v>32</v>
      </c>
      <c r="E22" s="3">
        <v>110250.14</v>
      </c>
      <c r="F22" s="2" t="s">
        <v>12</v>
      </c>
    </row>
    <row r="23" spans="1:6" x14ac:dyDescent="0.25">
      <c r="A23" s="4" t="s">
        <v>61</v>
      </c>
      <c r="B23" s="4" t="s">
        <v>62</v>
      </c>
      <c r="C23" s="4" t="s">
        <v>63</v>
      </c>
      <c r="D23" s="4" t="s">
        <v>11</v>
      </c>
      <c r="E23" s="5">
        <v>75721.440000000002</v>
      </c>
      <c r="F23" s="4" t="s">
        <v>22</v>
      </c>
    </row>
    <row r="24" spans="1:6" x14ac:dyDescent="0.25">
      <c r="A24" s="2" t="s">
        <v>64</v>
      </c>
      <c r="B24" s="2" t="s">
        <v>65</v>
      </c>
      <c r="C24" s="2" t="s">
        <v>28</v>
      </c>
      <c r="D24" s="2" t="s">
        <v>32</v>
      </c>
      <c r="E24" s="3">
        <v>135057.1</v>
      </c>
      <c r="F24" s="2" t="s">
        <v>17</v>
      </c>
    </row>
    <row r="25" spans="1:6" x14ac:dyDescent="0.25">
      <c r="A25" s="4" t="s">
        <v>66</v>
      </c>
      <c r="B25" s="4" t="s">
        <v>67</v>
      </c>
      <c r="C25" s="4" t="s">
        <v>37</v>
      </c>
      <c r="D25" s="4" t="s">
        <v>16</v>
      </c>
      <c r="E25" s="5">
        <v>184188.24</v>
      </c>
      <c r="F25" s="4" t="s">
        <v>22</v>
      </c>
    </row>
    <row r="26" spans="1:6" x14ac:dyDescent="0.25">
      <c r="A26" s="2" t="s">
        <v>68</v>
      </c>
      <c r="B26" s="2" t="s">
        <v>69</v>
      </c>
      <c r="C26" s="2" t="s">
        <v>10</v>
      </c>
      <c r="D26" s="2" t="s">
        <v>11</v>
      </c>
      <c r="E26" s="3">
        <v>379112.17</v>
      </c>
      <c r="F26" s="2" t="s">
        <v>22</v>
      </c>
    </row>
    <row r="27" spans="1:6" x14ac:dyDescent="0.25">
      <c r="A27" s="4" t="s">
        <v>70</v>
      </c>
      <c r="B27" s="4" t="s">
        <v>71</v>
      </c>
      <c r="C27" s="4" t="s">
        <v>15</v>
      </c>
      <c r="D27" s="4" t="s">
        <v>16</v>
      </c>
      <c r="E27" s="5">
        <v>397079.29</v>
      </c>
      <c r="F27" s="4" t="s">
        <v>12</v>
      </c>
    </row>
    <row r="28" spans="1:6" x14ac:dyDescent="0.25">
      <c r="A28" s="2" t="s">
        <v>72</v>
      </c>
      <c r="B28" s="2" t="s">
        <v>73</v>
      </c>
      <c r="C28" s="2" t="s">
        <v>37</v>
      </c>
      <c r="D28" s="2" t="s">
        <v>16</v>
      </c>
      <c r="E28" s="3">
        <v>193901.55</v>
      </c>
      <c r="F28" s="2" t="s">
        <v>12</v>
      </c>
    </row>
    <row r="29" spans="1:6" x14ac:dyDescent="0.25">
      <c r="A29" s="4" t="s">
        <v>74</v>
      </c>
      <c r="B29" s="4" t="s">
        <v>75</v>
      </c>
      <c r="C29" s="4" t="s">
        <v>28</v>
      </c>
      <c r="D29" s="4" t="s">
        <v>21</v>
      </c>
      <c r="E29" s="5">
        <v>431085.95</v>
      </c>
      <c r="F29" s="4" t="s">
        <v>22</v>
      </c>
    </row>
    <row r="30" spans="1:6" x14ac:dyDescent="0.25">
      <c r="A30" s="2" t="s">
        <v>76</v>
      </c>
      <c r="B30" s="2" t="s">
        <v>77</v>
      </c>
      <c r="C30" s="2" t="s">
        <v>28</v>
      </c>
      <c r="D30" s="2" t="s">
        <v>48</v>
      </c>
      <c r="E30" s="3">
        <v>376684.51</v>
      </c>
      <c r="F30" s="2" t="s">
        <v>17</v>
      </c>
    </row>
    <row r="31" spans="1:6" x14ac:dyDescent="0.25">
      <c r="A31" s="4" t="s">
        <v>78</v>
      </c>
      <c r="B31" s="4" t="s">
        <v>79</v>
      </c>
      <c r="C31" s="4" t="s">
        <v>35</v>
      </c>
      <c r="D31" s="4" t="s">
        <v>21</v>
      </c>
      <c r="E31" s="5">
        <v>220208.8</v>
      </c>
      <c r="F31" s="4" t="s">
        <v>12</v>
      </c>
    </row>
    <row r="32" spans="1:6" x14ac:dyDescent="0.25">
      <c r="A32" s="2" t="s">
        <v>80</v>
      </c>
      <c r="B32" s="2" t="s">
        <v>39</v>
      </c>
      <c r="C32" s="2" t="s">
        <v>28</v>
      </c>
      <c r="D32" s="2" t="s">
        <v>21</v>
      </c>
      <c r="E32" s="3">
        <v>382171.29</v>
      </c>
      <c r="F32" s="2" t="s">
        <v>17</v>
      </c>
    </row>
    <row r="33" spans="1:6" x14ac:dyDescent="0.25">
      <c r="A33" s="4" t="s">
        <v>81</v>
      </c>
      <c r="B33" s="4" t="s">
        <v>71</v>
      </c>
      <c r="C33" s="4" t="s">
        <v>35</v>
      </c>
      <c r="D33" s="4" t="s">
        <v>16</v>
      </c>
      <c r="E33" s="5">
        <v>421626.33</v>
      </c>
      <c r="F33" s="4" t="s">
        <v>17</v>
      </c>
    </row>
    <row r="34" spans="1:6" x14ac:dyDescent="0.25">
      <c r="A34" s="2" t="s">
        <v>82</v>
      </c>
      <c r="B34" s="2" t="s">
        <v>27</v>
      </c>
      <c r="C34" s="2" t="s">
        <v>15</v>
      </c>
      <c r="D34" s="2" t="s">
        <v>16</v>
      </c>
      <c r="E34" s="3">
        <v>190087.36</v>
      </c>
      <c r="F34" s="2" t="s">
        <v>22</v>
      </c>
    </row>
    <row r="35" spans="1:6" x14ac:dyDescent="0.25">
      <c r="A35" s="4" t="s">
        <v>83</v>
      </c>
      <c r="B35" s="4" t="s">
        <v>84</v>
      </c>
      <c r="C35" s="4" t="s">
        <v>31</v>
      </c>
      <c r="D35" s="4" t="s">
        <v>21</v>
      </c>
      <c r="E35" s="5">
        <v>301477.57</v>
      </c>
      <c r="F35" s="4" t="s">
        <v>12</v>
      </c>
    </row>
    <row r="36" spans="1:6" x14ac:dyDescent="0.25">
      <c r="A36" s="2" t="s">
        <v>85</v>
      </c>
      <c r="B36" s="2" t="s">
        <v>79</v>
      </c>
      <c r="C36" s="2" t="s">
        <v>51</v>
      </c>
      <c r="D36" s="2" t="s">
        <v>11</v>
      </c>
      <c r="E36" s="3">
        <v>439967.33</v>
      </c>
      <c r="F36" s="2" t="s">
        <v>12</v>
      </c>
    </row>
    <row r="37" spans="1:6" x14ac:dyDescent="0.25">
      <c r="A37" s="4" t="s">
        <v>86</v>
      </c>
      <c r="B37" s="4" t="s">
        <v>87</v>
      </c>
      <c r="C37" s="4" t="s">
        <v>25</v>
      </c>
      <c r="D37" s="4" t="s">
        <v>21</v>
      </c>
      <c r="E37" s="5">
        <v>439614.75</v>
      </c>
      <c r="F37" s="4" t="s">
        <v>22</v>
      </c>
    </row>
    <row r="38" spans="1:6" x14ac:dyDescent="0.25">
      <c r="A38" s="2" t="s">
        <v>88</v>
      </c>
      <c r="B38" s="2" t="s">
        <v>89</v>
      </c>
      <c r="C38" s="2" t="s">
        <v>10</v>
      </c>
      <c r="D38" s="2" t="s">
        <v>11</v>
      </c>
      <c r="E38" s="3">
        <v>489102.32</v>
      </c>
      <c r="F38" s="2" t="s">
        <v>17</v>
      </c>
    </row>
    <row r="39" spans="1:6" x14ac:dyDescent="0.25">
      <c r="A39" s="4" t="s">
        <v>90</v>
      </c>
      <c r="B39" s="4" t="s">
        <v>91</v>
      </c>
      <c r="C39" s="4" t="s">
        <v>63</v>
      </c>
      <c r="D39" s="4" t="s">
        <v>48</v>
      </c>
      <c r="E39" s="5">
        <v>473690.1</v>
      </c>
      <c r="F39" s="4" t="s">
        <v>22</v>
      </c>
    </row>
    <row r="40" spans="1:6" x14ac:dyDescent="0.25">
      <c r="A40" s="2" t="s">
        <v>92</v>
      </c>
      <c r="B40" s="2" t="s">
        <v>84</v>
      </c>
      <c r="C40" s="2" t="s">
        <v>20</v>
      </c>
      <c r="D40" s="2" t="s">
        <v>16</v>
      </c>
      <c r="E40" s="3">
        <v>214453.28</v>
      </c>
      <c r="F40" s="2" t="s">
        <v>22</v>
      </c>
    </row>
    <row r="41" spans="1:6" x14ac:dyDescent="0.25">
      <c r="A41" s="4" t="s">
        <v>93</v>
      </c>
      <c r="B41" s="4" t="s">
        <v>94</v>
      </c>
      <c r="C41" s="4" t="s">
        <v>25</v>
      </c>
      <c r="D41" s="4" t="s">
        <v>48</v>
      </c>
      <c r="E41" s="5">
        <v>357909.74</v>
      </c>
      <c r="F41" s="4" t="s">
        <v>12</v>
      </c>
    </row>
    <row r="42" spans="1:6" x14ac:dyDescent="0.25">
      <c r="A42" s="2" t="s">
        <v>95</v>
      </c>
      <c r="B42" s="2" t="s">
        <v>96</v>
      </c>
      <c r="C42" s="2" t="s">
        <v>28</v>
      </c>
      <c r="D42" s="2" t="s">
        <v>11</v>
      </c>
      <c r="E42" s="3">
        <v>228485.64</v>
      </c>
      <c r="F42" s="2" t="s">
        <v>22</v>
      </c>
    </row>
    <row r="43" spans="1:6" x14ac:dyDescent="0.25">
      <c r="A43" s="4" t="s">
        <v>97</v>
      </c>
      <c r="B43" s="4" t="s">
        <v>73</v>
      </c>
      <c r="C43" s="4" t="s">
        <v>51</v>
      </c>
      <c r="D43" s="4" t="s">
        <v>11</v>
      </c>
      <c r="E43" s="5">
        <v>15411.96</v>
      </c>
      <c r="F43" s="4" t="s">
        <v>17</v>
      </c>
    </row>
    <row r="44" spans="1:6" x14ac:dyDescent="0.25">
      <c r="A44" s="2" t="s">
        <v>98</v>
      </c>
      <c r="B44" s="2" t="s">
        <v>99</v>
      </c>
      <c r="C44" s="2" t="s">
        <v>25</v>
      </c>
      <c r="D44" s="2" t="s">
        <v>21</v>
      </c>
      <c r="E44" s="3">
        <v>8559.4699999999993</v>
      </c>
      <c r="F44" s="2" t="s">
        <v>17</v>
      </c>
    </row>
    <row r="45" spans="1:6" x14ac:dyDescent="0.25">
      <c r="A45" s="4" t="s">
        <v>100</v>
      </c>
      <c r="B45" s="4" t="s">
        <v>101</v>
      </c>
      <c r="C45" s="4" t="s">
        <v>10</v>
      </c>
      <c r="D45" s="4" t="s">
        <v>21</v>
      </c>
      <c r="E45" s="5">
        <v>453182.91</v>
      </c>
      <c r="F45" s="4" t="s">
        <v>12</v>
      </c>
    </row>
    <row r="46" spans="1:6" x14ac:dyDescent="0.25">
      <c r="A46" s="2" t="s">
        <v>102</v>
      </c>
      <c r="B46" s="2" t="s">
        <v>103</v>
      </c>
      <c r="C46" s="2" t="s">
        <v>25</v>
      </c>
      <c r="D46" s="2" t="s">
        <v>11</v>
      </c>
      <c r="E46" s="3">
        <v>142846.25</v>
      </c>
      <c r="F46" s="2" t="s">
        <v>12</v>
      </c>
    </row>
    <row r="47" spans="1:6" x14ac:dyDescent="0.25">
      <c r="A47" s="4" t="s">
        <v>104</v>
      </c>
      <c r="B47" s="4" t="s">
        <v>105</v>
      </c>
      <c r="C47" s="4" t="s">
        <v>15</v>
      </c>
      <c r="D47" s="4" t="s">
        <v>16</v>
      </c>
      <c r="E47" s="5">
        <v>363059.52</v>
      </c>
      <c r="F47" s="4" t="s">
        <v>17</v>
      </c>
    </row>
    <row r="48" spans="1:6" x14ac:dyDescent="0.25">
      <c r="A48" s="2" t="s">
        <v>106</v>
      </c>
      <c r="B48" s="2" t="s">
        <v>107</v>
      </c>
      <c r="C48" s="2" t="s">
        <v>25</v>
      </c>
      <c r="D48" s="2" t="s">
        <v>11</v>
      </c>
      <c r="E48" s="3">
        <v>393386.62</v>
      </c>
      <c r="F48" s="2" t="s">
        <v>12</v>
      </c>
    </row>
    <row r="49" spans="1:6" x14ac:dyDescent="0.25">
      <c r="A49" s="4" t="s">
        <v>108</v>
      </c>
      <c r="B49" s="4" t="s">
        <v>47</v>
      </c>
      <c r="C49" s="4" t="s">
        <v>10</v>
      </c>
      <c r="D49" s="4" t="s">
        <v>32</v>
      </c>
      <c r="E49" s="5">
        <v>331196.46000000002</v>
      </c>
      <c r="F49" s="4" t="s">
        <v>12</v>
      </c>
    </row>
    <row r="50" spans="1:6" x14ac:dyDescent="0.25">
      <c r="A50" s="2" t="s">
        <v>109</v>
      </c>
      <c r="B50" s="2" t="s">
        <v>110</v>
      </c>
      <c r="C50" s="2" t="s">
        <v>63</v>
      </c>
      <c r="D50" s="2" t="s">
        <v>21</v>
      </c>
      <c r="E50" s="3">
        <v>432599.19</v>
      </c>
      <c r="F50" s="2" t="s">
        <v>22</v>
      </c>
    </row>
    <row r="51" spans="1:6" x14ac:dyDescent="0.25">
      <c r="A51" s="4" t="s">
        <v>111</v>
      </c>
      <c r="B51" s="4" t="s">
        <v>87</v>
      </c>
      <c r="C51" s="4" t="s">
        <v>37</v>
      </c>
      <c r="D51" s="4" t="s">
        <v>11</v>
      </c>
      <c r="E51" s="5">
        <v>365465.73</v>
      </c>
      <c r="F51" s="4" t="s">
        <v>22</v>
      </c>
    </row>
    <row r="52" spans="1:6" x14ac:dyDescent="0.25">
      <c r="A52" s="2" t="s">
        <v>112</v>
      </c>
      <c r="B52" s="2" t="s">
        <v>113</v>
      </c>
      <c r="C52" s="2" t="s">
        <v>25</v>
      </c>
      <c r="D52" s="2" t="s">
        <v>32</v>
      </c>
      <c r="E52" s="3">
        <v>270461.45</v>
      </c>
      <c r="F52" s="2" t="s">
        <v>22</v>
      </c>
    </row>
    <row r="53" spans="1:6" x14ac:dyDescent="0.25">
      <c r="A53" s="4" t="s">
        <v>114</v>
      </c>
      <c r="B53" s="4" t="s">
        <v>115</v>
      </c>
      <c r="C53" s="4" t="s">
        <v>35</v>
      </c>
      <c r="D53" s="4" t="s">
        <v>32</v>
      </c>
      <c r="E53" s="5">
        <v>234000.89</v>
      </c>
      <c r="F53" s="4" t="s">
        <v>22</v>
      </c>
    </row>
    <row r="54" spans="1:6" x14ac:dyDescent="0.25">
      <c r="A54" s="2" t="s">
        <v>116</v>
      </c>
      <c r="B54" s="2" t="s">
        <v>117</v>
      </c>
      <c r="C54" s="2" t="s">
        <v>10</v>
      </c>
      <c r="D54" s="2" t="s">
        <v>21</v>
      </c>
      <c r="E54" s="3">
        <v>30041.22</v>
      </c>
      <c r="F54" s="2" t="s">
        <v>17</v>
      </c>
    </row>
    <row r="55" spans="1:6" x14ac:dyDescent="0.25">
      <c r="A55" s="4" t="s">
        <v>118</v>
      </c>
      <c r="B55" s="4" t="s">
        <v>19</v>
      </c>
      <c r="C55" s="4" t="s">
        <v>25</v>
      </c>
      <c r="D55" s="4" t="s">
        <v>32</v>
      </c>
      <c r="E55" s="5">
        <v>87324</v>
      </c>
      <c r="F55" s="4" t="s">
        <v>12</v>
      </c>
    </row>
    <row r="56" spans="1:6" x14ac:dyDescent="0.25">
      <c r="A56" s="2" t="s">
        <v>119</v>
      </c>
      <c r="B56" s="2" t="s">
        <v>24</v>
      </c>
      <c r="C56" s="2" t="s">
        <v>37</v>
      </c>
      <c r="D56" s="2" t="s">
        <v>32</v>
      </c>
      <c r="E56" s="3">
        <v>451709.22</v>
      </c>
      <c r="F56" s="2" t="s">
        <v>22</v>
      </c>
    </row>
    <row r="57" spans="1:6" x14ac:dyDescent="0.25">
      <c r="A57" s="4" t="s">
        <v>120</v>
      </c>
      <c r="B57" s="4" t="s">
        <v>121</v>
      </c>
      <c r="C57" s="4" t="s">
        <v>37</v>
      </c>
      <c r="D57" s="4" t="s">
        <v>48</v>
      </c>
      <c r="E57" s="5">
        <v>136275.51</v>
      </c>
      <c r="F57" s="4" t="s">
        <v>12</v>
      </c>
    </row>
    <row r="58" spans="1:6" x14ac:dyDescent="0.25">
      <c r="A58" s="2" t="s">
        <v>122</v>
      </c>
      <c r="B58" s="2" t="s">
        <v>123</v>
      </c>
      <c r="C58" s="2" t="s">
        <v>28</v>
      </c>
      <c r="D58" s="2" t="s">
        <v>11</v>
      </c>
      <c r="E58" s="3">
        <v>332626.3</v>
      </c>
      <c r="F58" s="2" t="s">
        <v>12</v>
      </c>
    </row>
    <row r="59" spans="1:6" x14ac:dyDescent="0.25">
      <c r="A59" s="4" t="s">
        <v>124</v>
      </c>
      <c r="B59" s="4" t="s">
        <v>113</v>
      </c>
      <c r="C59" s="4" t="s">
        <v>35</v>
      </c>
      <c r="D59" s="4" t="s">
        <v>16</v>
      </c>
      <c r="E59" s="5">
        <v>112761.94</v>
      </c>
      <c r="F59" s="4" t="s">
        <v>22</v>
      </c>
    </row>
    <row r="60" spans="1:6" x14ac:dyDescent="0.25">
      <c r="A60" s="2" t="s">
        <v>125</v>
      </c>
      <c r="B60" s="2" t="s">
        <v>105</v>
      </c>
      <c r="C60" s="2" t="s">
        <v>31</v>
      </c>
      <c r="D60" s="2" t="s">
        <v>21</v>
      </c>
      <c r="E60" s="3">
        <v>375247.9</v>
      </c>
      <c r="F60" s="2" t="s">
        <v>22</v>
      </c>
    </row>
    <row r="61" spans="1:6" x14ac:dyDescent="0.25">
      <c r="A61" s="4" t="s">
        <v>126</v>
      </c>
      <c r="B61" s="4" t="s">
        <v>67</v>
      </c>
      <c r="C61" s="4" t="s">
        <v>63</v>
      </c>
      <c r="D61" s="4" t="s">
        <v>11</v>
      </c>
      <c r="E61" s="5">
        <v>253910.94</v>
      </c>
      <c r="F61" s="4" t="s">
        <v>17</v>
      </c>
    </row>
    <row r="62" spans="1:6" x14ac:dyDescent="0.25">
      <c r="A62" s="2" t="s">
        <v>127</v>
      </c>
      <c r="B62" s="2" t="s">
        <v>87</v>
      </c>
      <c r="C62" s="2" t="s">
        <v>28</v>
      </c>
      <c r="D62" s="2" t="s">
        <v>21</v>
      </c>
      <c r="E62" s="3">
        <v>44655.18</v>
      </c>
      <c r="F62" s="2" t="s">
        <v>22</v>
      </c>
    </row>
    <row r="63" spans="1:6" x14ac:dyDescent="0.25">
      <c r="A63" s="4" t="s">
        <v>128</v>
      </c>
      <c r="B63" s="4" t="s">
        <v>129</v>
      </c>
      <c r="C63" s="4" t="s">
        <v>10</v>
      </c>
      <c r="D63" s="4" t="s">
        <v>32</v>
      </c>
      <c r="E63" s="5">
        <v>339230.21</v>
      </c>
      <c r="F63" s="4" t="s">
        <v>22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0"/>
  <sheetViews>
    <sheetView workbookViewId="0">
      <selection activeCell="J4" sqref="J4"/>
    </sheetView>
  </sheetViews>
  <sheetFormatPr defaultRowHeight="15" x14ac:dyDescent="0.25"/>
  <cols>
    <col min="1" max="1" width="16" customWidth="1"/>
    <col min="2" max="2" width="13" customWidth="1"/>
    <col min="3" max="3" width="18" customWidth="1"/>
    <col min="4" max="4" width="20" customWidth="1"/>
    <col min="5" max="5" width="16" customWidth="1"/>
    <col min="6" max="6" width="11" customWidth="1"/>
    <col min="10" max="10" width="10.7109375" bestFit="1" customWidth="1"/>
  </cols>
  <sheetData>
    <row r="1" spans="1:10" ht="27.95" customHeight="1" x14ac:dyDescent="0.25">
      <c r="A1" s="16" t="s">
        <v>130</v>
      </c>
      <c r="B1" s="14"/>
      <c r="C1" s="14"/>
      <c r="D1" s="14"/>
      <c r="E1" s="14"/>
      <c r="F1" s="14"/>
    </row>
    <row r="2" spans="1:10" ht="15.95" customHeight="1" x14ac:dyDescent="0.25">
      <c r="A2" s="13" t="s">
        <v>131</v>
      </c>
      <c r="B2" s="14"/>
      <c r="C2" s="14"/>
      <c r="D2" s="14"/>
      <c r="E2" s="14"/>
      <c r="F2" s="14"/>
    </row>
    <row r="3" spans="1:10" ht="21.95" customHeight="1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 spans="1:10" x14ac:dyDescent="0.25">
      <c r="A4" s="2" t="s">
        <v>8</v>
      </c>
      <c r="B4" s="2" t="s">
        <v>9</v>
      </c>
      <c r="C4" s="2" t="s">
        <v>10</v>
      </c>
      <c r="D4" s="2" t="s">
        <v>11</v>
      </c>
      <c r="E4" s="3">
        <v>17380.32</v>
      </c>
      <c r="F4" s="2" t="s">
        <v>12</v>
      </c>
      <c r="J4" t="str">
        <f>VLOOKUP(A4,A3:F60,3,FALSE)</f>
        <v>HSBC</v>
      </c>
    </row>
    <row r="5" spans="1:10" x14ac:dyDescent="0.25">
      <c r="A5" s="4" t="s">
        <v>13</v>
      </c>
      <c r="B5" s="4" t="s">
        <v>14</v>
      </c>
      <c r="C5" s="4" t="s">
        <v>15</v>
      </c>
      <c r="D5" s="4" t="s">
        <v>16</v>
      </c>
      <c r="E5" s="5">
        <v>369553.25</v>
      </c>
      <c r="F5" s="4" t="s">
        <v>17</v>
      </c>
    </row>
    <row r="6" spans="1:10" x14ac:dyDescent="0.25">
      <c r="A6" s="2" t="s">
        <v>18</v>
      </c>
      <c r="B6" s="2" t="s">
        <v>91</v>
      </c>
      <c r="C6" s="2" t="s">
        <v>20</v>
      </c>
      <c r="D6" s="2" t="s">
        <v>21</v>
      </c>
      <c r="E6" s="3">
        <v>213851.3</v>
      </c>
      <c r="F6" s="2" t="s">
        <v>22</v>
      </c>
    </row>
    <row r="7" spans="1:10" x14ac:dyDescent="0.25">
      <c r="A7" s="4" t="s">
        <v>23</v>
      </c>
      <c r="B7" s="4" t="s">
        <v>24</v>
      </c>
      <c r="C7" s="4" t="s">
        <v>25</v>
      </c>
      <c r="D7" s="4" t="s">
        <v>16</v>
      </c>
      <c r="E7" s="5">
        <v>255150.87</v>
      </c>
      <c r="F7" s="4" t="s">
        <v>22</v>
      </c>
    </row>
    <row r="8" spans="1:10" x14ac:dyDescent="0.25">
      <c r="A8" s="2" t="s">
        <v>26</v>
      </c>
      <c r="B8" s="2" t="s">
        <v>27</v>
      </c>
      <c r="C8" s="2" t="s">
        <v>28</v>
      </c>
      <c r="D8" s="2" t="s">
        <v>16</v>
      </c>
      <c r="E8" s="3">
        <v>212449.65</v>
      </c>
      <c r="F8" s="2" t="s">
        <v>12</v>
      </c>
    </row>
    <row r="9" spans="1:10" x14ac:dyDescent="0.25">
      <c r="A9" s="4" t="s">
        <v>29</v>
      </c>
      <c r="B9" s="4" t="s">
        <v>30</v>
      </c>
      <c r="C9" s="4" t="s">
        <v>31</v>
      </c>
      <c r="D9" s="4" t="s">
        <v>32</v>
      </c>
      <c r="E9" s="5">
        <v>380609.65</v>
      </c>
      <c r="F9" s="4" t="s">
        <v>22</v>
      </c>
    </row>
    <row r="10" spans="1:10" x14ac:dyDescent="0.25">
      <c r="A10" s="2" t="s">
        <v>33</v>
      </c>
      <c r="B10" s="2" t="s">
        <v>34</v>
      </c>
      <c r="C10" s="2" t="s">
        <v>35</v>
      </c>
      <c r="D10" s="2" t="s">
        <v>21</v>
      </c>
      <c r="E10" s="3">
        <v>81962.350000000006</v>
      </c>
      <c r="F10" s="2" t="s">
        <v>12</v>
      </c>
    </row>
    <row r="11" spans="1:10" x14ac:dyDescent="0.25">
      <c r="A11" s="4" t="s">
        <v>38</v>
      </c>
      <c r="B11" s="4" t="s">
        <v>39</v>
      </c>
      <c r="C11" s="4" t="s">
        <v>31</v>
      </c>
      <c r="D11" s="4" t="s">
        <v>21</v>
      </c>
      <c r="E11" s="5">
        <v>366217.23</v>
      </c>
      <c r="F11" s="4" t="s">
        <v>17</v>
      </c>
    </row>
    <row r="12" spans="1:10" x14ac:dyDescent="0.25">
      <c r="A12" s="2" t="s">
        <v>40</v>
      </c>
      <c r="B12" s="2" t="s">
        <v>41</v>
      </c>
      <c r="C12" s="2" t="s">
        <v>10</v>
      </c>
      <c r="D12" s="2" t="s">
        <v>16</v>
      </c>
      <c r="E12" s="3">
        <v>278260.11</v>
      </c>
      <c r="F12" s="2" t="s">
        <v>17</v>
      </c>
    </row>
    <row r="13" spans="1:10" x14ac:dyDescent="0.25">
      <c r="A13" s="4" t="s">
        <v>42</v>
      </c>
      <c r="B13" s="4" t="s">
        <v>43</v>
      </c>
      <c r="C13" s="4" t="s">
        <v>20</v>
      </c>
      <c r="D13" s="4" t="s">
        <v>21</v>
      </c>
      <c r="E13" s="5">
        <v>100182.85</v>
      </c>
      <c r="F13" s="4" t="s">
        <v>22</v>
      </c>
    </row>
    <row r="14" spans="1:10" x14ac:dyDescent="0.25">
      <c r="A14" s="2" t="s">
        <v>44</v>
      </c>
      <c r="B14" s="2" t="s">
        <v>45</v>
      </c>
      <c r="C14" s="2" t="s">
        <v>25</v>
      </c>
      <c r="D14" s="2" t="s">
        <v>11</v>
      </c>
      <c r="E14" s="3">
        <v>388056.5</v>
      </c>
      <c r="F14" s="2" t="s">
        <v>22</v>
      </c>
    </row>
    <row r="15" spans="1:10" x14ac:dyDescent="0.25">
      <c r="A15" s="4" t="s">
        <v>46</v>
      </c>
      <c r="B15" s="4" t="s">
        <v>47</v>
      </c>
      <c r="C15" s="4" t="s">
        <v>37</v>
      </c>
      <c r="D15" s="4" t="s">
        <v>48</v>
      </c>
      <c r="E15" s="5">
        <v>142596.93</v>
      </c>
      <c r="F15" s="4" t="s">
        <v>17</v>
      </c>
    </row>
    <row r="16" spans="1:10" x14ac:dyDescent="0.25">
      <c r="A16" s="2" t="s">
        <v>49</v>
      </c>
      <c r="B16" s="2" t="s">
        <v>50</v>
      </c>
      <c r="C16" s="2" t="s">
        <v>51</v>
      </c>
      <c r="D16" s="2" t="s">
        <v>48</v>
      </c>
      <c r="E16" s="3">
        <v>180859</v>
      </c>
      <c r="F16" s="2" t="s">
        <v>17</v>
      </c>
    </row>
    <row r="17" spans="1:6" x14ac:dyDescent="0.25">
      <c r="A17" s="4" t="s">
        <v>52</v>
      </c>
      <c r="B17" s="4" t="s">
        <v>53</v>
      </c>
      <c r="C17" s="4" t="s">
        <v>10</v>
      </c>
      <c r="D17" s="4" t="s">
        <v>16</v>
      </c>
      <c r="E17" s="5">
        <v>306519.84999999998</v>
      </c>
      <c r="F17" s="4" t="s">
        <v>22</v>
      </c>
    </row>
    <row r="18" spans="1:6" x14ac:dyDescent="0.25">
      <c r="A18" s="2" t="s">
        <v>54</v>
      </c>
      <c r="B18" s="2" t="s">
        <v>55</v>
      </c>
      <c r="C18" s="2" t="s">
        <v>15</v>
      </c>
      <c r="D18" s="2" t="s">
        <v>16</v>
      </c>
      <c r="E18" s="3">
        <v>233818.8</v>
      </c>
      <c r="F18" s="2" t="s">
        <v>12</v>
      </c>
    </row>
    <row r="19" spans="1:6" x14ac:dyDescent="0.25">
      <c r="A19" s="4" t="s">
        <v>56</v>
      </c>
      <c r="B19" s="4" t="s">
        <v>14</v>
      </c>
      <c r="C19" s="4" t="s">
        <v>51</v>
      </c>
      <c r="D19" s="4" t="s">
        <v>11</v>
      </c>
      <c r="E19" s="5">
        <v>422211.7</v>
      </c>
      <c r="F19" s="4" t="s">
        <v>22</v>
      </c>
    </row>
    <row r="20" spans="1:6" x14ac:dyDescent="0.25">
      <c r="A20" s="2" t="s">
        <v>57</v>
      </c>
      <c r="B20" s="2" t="s">
        <v>58</v>
      </c>
      <c r="C20" s="2" t="s">
        <v>51</v>
      </c>
      <c r="D20" s="2" t="s">
        <v>11</v>
      </c>
      <c r="E20" s="3">
        <v>203576.57</v>
      </c>
      <c r="F20" s="2" t="s">
        <v>22</v>
      </c>
    </row>
    <row r="21" spans="1:6" x14ac:dyDescent="0.25">
      <c r="A21" s="4" t="s">
        <v>61</v>
      </c>
      <c r="B21" s="4" t="s">
        <v>62</v>
      </c>
      <c r="C21" s="4" t="s">
        <v>63</v>
      </c>
      <c r="D21" s="4" t="s">
        <v>11</v>
      </c>
      <c r="E21" s="5">
        <v>75721.440000000002</v>
      </c>
      <c r="F21" s="4" t="s">
        <v>22</v>
      </c>
    </row>
    <row r="22" spans="1:6" x14ac:dyDescent="0.25">
      <c r="A22" s="2" t="s">
        <v>64</v>
      </c>
      <c r="B22" s="2" t="s">
        <v>65</v>
      </c>
      <c r="C22" s="2" t="s">
        <v>28</v>
      </c>
      <c r="D22" s="2" t="s">
        <v>32</v>
      </c>
      <c r="E22" s="3">
        <v>135057.1</v>
      </c>
      <c r="F22" s="2" t="s">
        <v>17</v>
      </c>
    </row>
    <row r="23" spans="1:6" x14ac:dyDescent="0.25">
      <c r="A23" s="4" t="s">
        <v>66</v>
      </c>
      <c r="B23" s="4" t="s">
        <v>67</v>
      </c>
      <c r="C23" s="4" t="s">
        <v>37</v>
      </c>
      <c r="D23" s="4" t="s">
        <v>16</v>
      </c>
      <c r="E23" s="5">
        <v>184188.24</v>
      </c>
      <c r="F23" s="4" t="s">
        <v>22</v>
      </c>
    </row>
    <row r="24" spans="1:6" x14ac:dyDescent="0.25">
      <c r="A24" s="2" t="s">
        <v>68</v>
      </c>
      <c r="B24" s="2" t="s">
        <v>69</v>
      </c>
      <c r="C24" s="2" t="s">
        <v>10</v>
      </c>
      <c r="D24" s="2" t="s">
        <v>11</v>
      </c>
      <c r="E24" s="3">
        <v>379491.28</v>
      </c>
      <c r="F24" s="2" t="s">
        <v>22</v>
      </c>
    </row>
    <row r="25" spans="1:6" x14ac:dyDescent="0.25">
      <c r="A25" s="4" t="s">
        <v>70</v>
      </c>
      <c r="B25" s="4" t="s">
        <v>71</v>
      </c>
      <c r="C25" s="4" t="s">
        <v>15</v>
      </c>
      <c r="D25" s="4" t="s">
        <v>16</v>
      </c>
      <c r="E25" s="5">
        <v>397079.29</v>
      </c>
      <c r="F25" s="4" t="s">
        <v>12</v>
      </c>
    </row>
    <row r="26" spans="1:6" x14ac:dyDescent="0.25">
      <c r="A26" s="2" t="s">
        <v>72</v>
      </c>
      <c r="B26" s="2" t="s">
        <v>73</v>
      </c>
      <c r="C26" s="2" t="s">
        <v>37</v>
      </c>
      <c r="D26" s="2" t="s">
        <v>16</v>
      </c>
      <c r="E26" s="3">
        <v>193901.55</v>
      </c>
      <c r="F26" s="2" t="s">
        <v>12</v>
      </c>
    </row>
    <row r="27" spans="1:6" x14ac:dyDescent="0.25">
      <c r="A27" s="4" t="s">
        <v>74</v>
      </c>
      <c r="B27" s="4" t="s">
        <v>75</v>
      </c>
      <c r="C27" s="4" t="s">
        <v>28</v>
      </c>
      <c r="D27" s="4" t="s">
        <v>21</v>
      </c>
      <c r="E27" s="5">
        <v>431085.95</v>
      </c>
      <c r="F27" s="4" t="s">
        <v>22</v>
      </c>
    </row>
    <row r="28" spans="1:6" x14ac:dyDescent="0.25">
      <c r="A28" s="2" t="s">
        <v>76</v>
      </c>
      <c r="B28" s="2" t="s">
        <v>77</v>
      </c>
      <c r="C28" s="2" t="s">
        <v>37</v>
      </c>
      <c r="D28" s="2" t="s">
        <v>48</v>
      </c>
      <c r="E28" s="3">
        <v>376684.51</v>
      </c>
      <c r="F28" s="2" t="s">
        <v>17</v>
      </c>
    </row>
    <row r="29" spans="1:6" x14ac:dyDescent="0.25">
      <c r="A29" s="4" t="s">
        <v>78</v>
      </c>
      <c r="B29" s="4" t="s">
        <v>79</v>
      </c>
      <c r="C29" s="4" t="s">
        <v>35</v>
      </c>
      <c r="D29" s="4" t="s">
        <v>21</v>
      </c>
      <c r="E29" s="5">
        <v>220208.8</v>
      </c>
      <c r="F29" s="4" t="s">
        <v>12</v>
      </c>
    </row>
    <row r="30" spans="1:6" x14ac:dyDescent="0.25">
      <c r="A30" s="2" t="s">
        <v>80</v>
      </c>
      <c r="B30" s="2" t="s">
        <v>39</v>
      </c>
      <c r="C30" s="2" t="s">
        <v>28</v>
      </c>
      <c r="D30" s="2" t="s">
        <v>21</v>
      </c>
      <c r="E30" s="3">
        <v>382171.29</v>
      </c>
      <c r="F30" s="2" t="s">
        <v>17</v>
      </c>
    </row>
    <row r="31" spans="1:6" x14ac:dyDescent="0.25">
      <c r="A31" s="4" t="s">
        <v>81</v>
      </c>
      <c r="B31" s="4" t="s">
        <v>71</v>
      </c>
      <c r="C31" s="4" t="s">
        <v>35</v>
      </c>
      <c r="D31" s="4" t="s">
        <v>16</v>
      </c>
      <c r="E31" s="5">
        <v>421626.33</v>
      </c>
      <c r="F31" s="4" t="s">
        <v>17</v>
      </c>
    </row>
    <row r="32" spans="1:6" x14ac:dyDescent="0.25">
      <c r="A32" s="2" t="s">
        <v>83</v>
      </c>
      <c r="B32" s="2" t="s">
        <v>84</v>
      </c>
      <c r="C32" s="2" t="s">
        <v>31</v>
      </c>
      <c r="D32" s="2" t="s">
        <v>21</v>
      </c>
      <c r="E32" s="3">
        <v>301477.57</v>
      </c>
      <c r="F32" s="2" t="s">
        <v>12</v>
      </c>
    </row>
    <row r="33" spans="1:6" x14ac:dyDescent="0.25">
      <c r="A33" s="4" t="s">
        <v>85</v>
      </c>
      <c r="B33" s="4" t="s">
        <v>79</v>
      </c>
      <c r="C33" s="4" t="s">
        <v>51</v>
      </c>
      <c r="D33" s="4" t="s">
        <v>11</v>
      </c>
      <c r="E33" s="5">
        <v>439967.33</v>
      </c>
      <c r="F33" s="4" t="s">
        <v>12</v>
      </c>
    </row>
    <row r="34" spans="1:6" x14ac:dyDescent="0.25">
      <c r="A34" s="2" t="s">
        <v>86</v>
      </c>
      <c r="B34" s="2" t="s">
        <v>87</v>
      </c>
      <c r="C34" s="2" t="s">
        <v>25</v>
      </c>
      <c r="D34" s="2" t="s">
        <v>21</v>
      </c>
      <c r="E34" s="3">
        <v>439614.75</v>
      </c>
      <c r="F34" s="2" t="s">
        <v>22</v>
      </c>
    </row>
    <row r="35" spans="1:6" x14ac:dyDescent="0.25">
      <c r="A35" s="4" t="s">
        <v>88</v>
      </c>
      <c r="B35" s="4" t="s">
        <v>89</v>
      </c>
      <c r="C35" s="4" t="s">
        <v>10</v>
      </c>
      <c r="D35" s="4" t="s">
        <v>11</v>
      </c>
      <c r="E35" s="5">
        <v>489102.32</v>
      </c>
      <c r="F35" s="4" t="s">
        <v>17</v>
      </c>
    </row>
    <row r="36" spans="1:6" x14ac:dyDescent="0.25">
      <c r="A36" s="2" t="s">
        <v>90</v>
      </c>
      <c r="B36" s="2" t="s">
        <v>91</v>
      </c>
      <c r="C36" s="2" t="s">
        <v>63</v>
      </c>
      <c r="D36" s="2" t="s">
        <v>48</v>
      </c>
      <c r="E36" s="3">
        <v>473690.1</v>
      </c>
      <c r="F36" s="2" t="s">
        <v>22</v>
      </c>
    </row>
    <row r="37" spans="1:6" x14ac:dyDescent="0.25">
      <c r="A37" s="4" t="s">
        <v>92</v>
      </c>
      <c r="B37" s="4" t="s">
        <v>84</v>
      </c>
      <c r="C37" s="4" t="s">
        <v>20</v>
      </c>
      <c r="D37" s="4" t="s">
        <v>16</v>
      </c>
      <c r="E37" s="5">
        <v>225175.94</v>
      </c>
      <c r="F37" s="4" t="s">
        <v>22</v>
      </c>
    </row>
    <row r="38" spans="1:6" x14ac:dyDescent="0.25">
      <c r="A38" s="2" t="s">
        <v>93</v>
      </c>
      <c r="B38" s="2" t="s">
        <v>94</v>
      </c>
      <c r="C38" s="2" t="s">
        <v>25</v>
      </c>
      <c r="D38" s="2" t="s">
        <v>48</v>
      </c>
      <c r="E38" s="3">
        <v>357909.74</v>
      </c>
      <c r="F38" s="2" t="s">
        <v>12</v>
      </c>
    </row>
    <row r="39" spans="1:6" x14ac:dyDescent="0.25">
      <c r="A39" s="4" t="s">
        <v>95</v>
      </c>
      <c r="B39" s="4" t="s">
        <v>96</v>
      </c>
      <c r="C39" s="4" t="s">
        <v>28</v>
      </c>
      <c r="D39" s="4" t="s">
        <v>11</v>
      </c>
      <c r="E39" s="5">
        <v>228485.64</v>
      </c>
      <c r="F39" s="4" t="s">
        <v>22</v>
      </c>
    </row>
    <row r="40" spans="1:6" x14ac:dyDescent="0.25">
      <c r="A40" s="2" t="s">
        <v>97</v>
      </c>
      <c r="B40" s="2" t="s">
        <v>73</v>
      </c>
      <c r="C40" s="2" t="s">
        <v>51</v>
      </c>
      <c r="D40" s="2" t="s">
        <v>11</v>
      </c>
      <c r="E40" s="3">
        <v>15411.96</v>
      </c>
      <c r="F40" s="2" t="s">
        <v>17</v>
      </c>
    </row>
    <row r="41" spans="1:6" x14ac:dyDescent="0.25">
      <c r="A41" s="4" t="s">
        <v>98</v>
      </c>
      <c r="B41" s="4" t="s">
        <v>99</v>
      </c>
      <c r="C41" s="4" t="s">
        <v>25</v>
      </c>
      <c r="D41" s="4" t="s">
        <v>21</v>
      </c>
      <c r="E41" s="5">
        <v>8559.4699999999993</v>
      </c>
      <c r="F41" s="4" t="s">
        <v>17</v>
      </c>
    </row>
    <row r="42" spans="1:6" x14ac:dyDescent="0.25">
      <c r="A42" s="2" t="s">
        <v>100</v>
      </c>
      <c r="B42" s="2" t="s">
        <v>101</v>
      </c>
      <c r="C42" s="2" t="s">
        <v>10</v>
      </c>
      <c r="D42" s="2" t="s">
        <v>21</v>
      </c>
      <c r="E42" s="3">
        <v>453182.91</v>
      </c>
      <c r="F42" s="2" t="s">
        <v>12</v>
      </c>
    </row>
    <row r="43" spans="1:6" x14ac:dyDescent="0.25">
      <c r="A43" s="4" t="s">
        <v>102</v>
      </c>
      <c r="B43" s="4" t="s">
        <v>103</v>
      </c>
      <c r="C43" s="4" t="s">
        <v>25</v>
      </c>
      <c r="D43" s="4" t="s">
        <v>11</v>
      </c>
      <c r="E43" s="5">
        <v>142846.25</v>
      </c>
      <c r="F43" s="4" t="s">
        <v>12</v>
      </c>
    </row>
    <row r="44" spans="1:6" x14ac:dyDescent="0.25">
      <c r="A44" s="2" t="s">
        <v>104</v>
      </c>
      <c r="B44" s="2" t="s">
        <v>132</v>
      </c>
      <c r="C44" s="2" t="s">
        <v>15</v>
      </c>
      <c r="D44" s="2" t="s">
        <v>16</v>
      </c>
      <c r="E44" s="3">
        <v>363059.52</v>
      </c>
      <c r="F44" s="2" t="s">
        <v>17</v>
      </c>
    </row>
    <row r="45" spans="1:6" x14ac:dyDescent="0.25">
      <c r="A45" s="4" t="s">
        <v>106</v>
      </c>
      <c r="B45" s="4" t="s">
        <v>107</v>
      </c>
      <c r="C45" s="4" t="s">
        <v>25</v>
      </c>
      <c r="D45" s="4" t="s">
        <v>11</v>
      </c>
      <c r="E45" s="5">
        <v>393386.62</v>
      </c>
      <c r="F45" s="4" t="s">
        <v>12</v>
      </c>
    </row>
    <row r="46" spans="1:6" x14ac:dyDescent="0.25">
      <c r="A46" s="2" t="s">
        <v>108</v>
      </c>
      <c r="B46" s="2" t="s">
        <v>47</v>
      </c>
      <c r="C46" s="2" t="s">
        <v>10</v>
      </c>
      <c r="D46" s="2" t="s">
        <v>32</v>
      </c>
      <c r="E46" s="3">
        <v>331196.46000000002</v>
      </c>
      <c r="F46" s="2" t="s">
        <v>12</v>
      </c>
    </row>
    <row r="47" spans="1:6" x14ac:dyDescent="0.25">
      <c r="A47" s="4" t="s">
        <v>109</v>
      </c>
      <c r="B47" s="4" t="s">
        <v>110</v>
      </c>
      <c r="C47" s="4" t="s">
        <v>63</v>
      </c>
      <c r="D47" s="4" t="s">
        <v>21</v>
      </c>
      <c r="E47" s="5">
        <v>432599.19</v>
      </c>
      <c r="F47" s="4" t="s">
        <v>22</v>
      </c>
    </row>
    <row r="48" spans="1:6" x14ac:dyDescent="0.25">
      <c r="A48" s="2" t="s">
        <v>111</v>
      </c>
      <c r="B48" s="2" t="s">
        <v>87</v>
      </c>
      <c r="C48" s="2" t="s">
        <v>37</v>
      </c>
      <c r="D48" s="2" t="s">
        <v>11</v>
      </c>
      <c r="E48" s="3">
        <v>365100.26</v>
      </c>
      <c r="F48" s="2" t="s">
        <v>22</v>
      </c>
    </row>
    <row r="49" spans="1:6" x14ac:dyDescent="0.25">
      <c r="A49" s="4" t="s">
        <v>112</v>
      </c>
      <c r="B49" s="4" t="s">
        <v>113</v>
      </c>
      <c r="C49" s="4" t="s">
        <v>25</v>
      </c>
      <c r="D49" s="4" t="s">
        <v>32</v>
      </c>
      <c r="E49" s="5">
        <v>270461.45</v>
      </c>
      <c r="F49" s="4" t="s">
        <v>22</v>
      </c>
    </row>
    <row r="50" spans="1:6" x14ac:dyDescent="0.25">
      <c r="A50" s="2" t="s">
        <v>114</v>
      </c>
      <c r="B50" s="2" t="s">
        <v>115</v>
      </c>
      <c r="C50" s="2" t="s">
        <v>35</v>
      </c>
      <c r="D50" s="2" t="s">
        <v>32</v>
      </c>
      <c r="E50" s="3">
        <v>234000.89</v>
      </c>
      <c r="F50" s="2" t="s">
        <v>22</v>
      </c>
    </row>
    <row r="51" spans="1:6" x14ac:dyDescent="0.25">
      <c r="A51" s="4" t="s">
        <v>116</v>
      </c>
      <c r="B51" s="4" t="s">
        <v>117</v>
      </c>
      <c r="C51" s="4" t="s">
        <v>10</v>
      </c>
      <c r="D51" s="4" t="s">
        <v>21</v>
      </c>
      <c r="E51" s="5">
        <v>30041.22</v>
      </c>
      <c r="F51" s="4" t="s">
        <v>17</v>
      </c>
    </row>
    <row r="52" spans="1:6" x14ac:dyDescent="0.25">
      <c r="A52" s="2" t="s">
        <v>118</v>
      </c>
      <c r="B52" s="2" t="s">
        <v>19</v>
      </c>
      <c r="C52" s="2" t="s">
        <v>25</v>
      </c>
      <c r="D52" s="2" t="s">
        <v>32</v>
      </c>
      <c r="E52" s="3">
        <v>87324</v>
      </c>
      <c r="F52" s="2" t="s">
        <v>12</v>
      </c>
    </row>
    <row r="53" spans="1:6" x14ac:dyDescent="0.25">
      <c r="A53" s="4" t="s">
        <v>119</v>
      </c>
      <c r="B53" s="4" t="s">
        <v>24</v>
      </c>
      <c r="C53" s="4" t="s">
        <v>37</v>
      </c>
      <c r="D53" s="4" t="s">
        <v>32</v>
      </c>
      <c r="E53" s="5">
        <v>451709.22</v>
      </c>
      <c r="F53" s="4" t="s">
        <v>22</v>
      </c>
    </row>
    <row r="54" spans="1:6" x14ac:dyDescent="0.25">
      <c r="A54" s="2" t="s">
        <v>120</v>
      </c>
      <c r="B54" s="2" t="s">
        <v>121</v>
      </c>
      <c r="C54" s="2" t="s">
        <v>37</v>
      </c>
      <c r="D54" s="2" t="s">
        <v>48</v>
      </c>
      <c r="E54" s="3">
        <v>136275.51</v>
      </c>
      <c r="F54" s="2" t="s">
        <v>12</v>
      </c>
    </row>
    <row r="55" spans="1:6" x14ac:dyDescent="0.25">
      <c r="A55" s="4" t="s">
        <v>122</v>
      </c>
      <c r="B55" s="4" t="s">
        <v>123</v>
      </c>
      <c r="C55" s="4" t="s">
        <v>28</v>
      </c>
      <c r="D55" s="4" t="s">
        <v>11</v>
      </c>
      <c r="E55" s="5">
        <v>332626.3</v>
      </c>
      <c r="F55" s="4" t="s">
        <v>12</v>
      </c>
    </row>
    <row r="56" spans="1:6" x14ac:dyDescent="0.25">
      <c r="A56" s="2" t="s">
        <v>124</v>
      </c>
      <c r="B56" s="2" t="s">
        <v>113</v>
      </c>
      <c r="C56" s="2" t="s">
        <v>35</v>
      </c>
      <c r="D56" s="2" t="s">
        <v>16</v>
      </c>
      <c r="E56" s="3">
        <v>112761.94</v>
      </c>
      <c r="F56" s="2" t="s">
        <v>22</v>
      </c>
    </row>
    <row r="57" spans="1:6" x14ac:dyDescent="0.25">
      <c r="A57" s="4" t="s">
        <v>125</v>
      </c>
      <c r="B57" s="4" t="s">
        <v>105</v>
      </c>
      <c r="C57" s="4" t="s">
        <v>31</v>
      </c>
      <c r="D57" s="4" t="s">
        <v>21</v>
      </c>
      <c r="E57" s="5">
        <v>375247.9</v>
      </c>
      <c r="F57" s="4" t="s">
        <v>22</v>
      </c>
    </row>
    <row r="58" spans="1:6" x14ac:dyDescent="0.25">
      <c r="A58" s="2" t="s">
        <v>126</v>
      </c>
      <c r="B58" s="2" t="s">
        <v>67</v>
      </c>
      <c r="C58" s="2" t="s">
        <v>63</v>
      </c>
      <c r="D58" s="2" t="s">
        <v>11</v>
      </c>
      <c r="E58" s="3">
        <v>253910.94</v>
      </c>
      <c r="F58" s="2" t="s">
        <v>17</v>
      </c>
    </row>
    <row r="59" spans="1:6" x14ac:dyDescent="0.25">
      <c r="A59" s="4" t="s">
        <v>127</v>
      </c>
      <c r="B59" s="4" t="s">
        <v>87</v>
      </c>
      <c r="C59" s="4" t="s">
        <v>28</v>
      </c>
      <c r="D59" s="4" t="s">
        <v>21</v>
      </c>
      <c r="E59" s="5">
        <v>44655.18</v>
      </c>
      <c r="F59" s="4" t="s">
        <v>22</v>
      </c>
    </row>
    <row r="60" spans="1:6" x14ac:dyDescent="0.25">
      <c r="A60" s="2" t="s">
        <v>128</v>
      </c>
      <c r="B60" s="2" t="s">
        <v>129</v>
      </c>
      <c r="C60" s="2" t="s">
        <v>10</v>
      </c>
      <c r="D60" s="2" t="s">
        <v>32</v>
      </c>
      <c r="E60" s="3">
        <v>339230.21</v>
      </c>
      <c r="F60" s="2" t="s">
        <v>22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E3BE0-5FAE-48C8-A23E-1DA5DCD61498}">
  <dimension ref="A1:L61"/>
  <sheetViews>
    <sheetView tabSelected="1" workbookViewId="0">
      <selection activeCell="F2" sqref="F2"/>
    </sheetView>
  </sheetViews>
  <sheetFormatPr defaultColWidth="13.42578125" defaultRowHeight="15" x14ac:dyDescent="0.25"/>
  <cols>
    <col min="1" max="7" width="17.7109375" customWidth="1"/>
    <col min="11" max="11" width="48.140625" customWidth="1"/>
  </cols>
  <sheetData>
    <row r="1" spans="1:12" ht="30" x14ac:dyDescent="0.25">
      <c r="A1" s="10" t="s">
        <v>164</v>
      </c>
      <c r="B1" s="10" t="s">
        <v>159</v>
      </c>
      <c r="C1" s="10" t="s">
        <v>160</v>
      </c>
      <c r="D1" s="10" t="s">
        <v>161</v>
      </c>
      <c r="E1" s="10" t="s">
        <v>162</v>
      </c>
      <c r="F1" s="10" t="s">
        <v>170</v>
      </c>
      <c r="G1" s="10" t="s">
        <v>163</v>
      </c>
      <c r="H1" s="11" t="s">
        <v>166</v>
      </c>
      <c r="I1" s="11" t="s">
        <v>165</v>
      </c>
      <c r="J1" s="11" t="s">
        <v>167</v>
      </c>
      <c r="K1" s="11" t="s">
        <v>168</v>
      </c>
      <c r="L1" s="11" t="s">
        <v>169</v>
      </c>
    </row>
    <row r="2" spans="1:12" x14ac:dyDescent="0.25">
      <c r="A2" t="str" cm="1">
        <f t="array" ref="A2:A61">System_A!A4:A63</f>
        <v>TXN-1001</v>
      </c>
      <c r="B2" t="str">
        <f>IFERROR(VLOOKUP(A2,System_B!$A:$A,1,0),"MISSING")</f>
        <v>TXN-1001</v>
      </c>
      <c r="C2" s="9">
        <f>VLOOKUP(A2,System_A!$A$4:$F$63,5,FALSE)</f>
        <v>17380.32</v>
      </c>
      <c r="D2" s="9">
        <f>IFERROR(VLOOKUP(B2,System_B!$A$4:$F$60,5,FALSE),0)</f>
        <v>17380.32</v>
      </c>
      <c r="E2" s="9">
        <f>IF(B2="MISSING","N/A",C2-D2)</f>
        <v>0</v>
      </c>
      <c r="F2" s="9">
        <v>0</v>
      </c>
      <c r="G2" t="str">
        <f>IF(B2="MISSING","Missing",IF(E2&lt;&gt;0,"Amount Mismatch","Match"))</f>
        <v>Match</v>
      </c>
      <c r="H2" s="12">
        <f>((COUNTIF($G$2:$G$61,"Match"))/60*100)</f>
        <v>86.666666666666671</v>
      </c>
      <c r="I2">
        <f>COUNTIF(G2:G61,"&lt;&gt;Match")</f>
        <v>8</v>
      </c>
      <c r="J2" s="12">
        <f>(COUNTIF(G2:G61,"&lt;&gt;Match")/60*100)</f>
        <v>13.333333333333334</v>
      </c>
      <c r="K2" cm="1">
        <f t="array" ref="K2">SUMPRODUCT((G2:G61="Amount Mismatch")*IFERROR(ABS(E2:E61),0))</f>
        <v>12067.570000000007</v>
      </c>
      <c r="L2" cm="1">
        <f t="array" ref="L2">MAX(IF(G2:G61="Amount Mismatch",ABS(E2:E61)))</f>
        <v>10722.660000000003</v>
      </c>
    </row>
    <row r="3" spans="1:12" x14ac:dyDescent="0.25">
      <c r="A3" t="str">
        <v>TXN-1002</v>
      </c>
      <c r="B3" t="str">
        <f>IFERROR(VLOOKUP(A3,System_B!$A:$A,1,0),"MISSING")</f>
        <v>TXN-1002</v>
      </c>
      <c r="C3" s="9">
        <f>VLOOKUP(A3,System_A!$A$4:$F$63,5,FALSE)</f>
        <v>369553.25</v>
      </c>
      <c r="D3" s="9">
        <f>IFERROR(VLOOKUP(B3,System_B!$A$4:$F$60,5,FALSE),0)</f>
        <v>369553.25</v>
      </c>
      <c r="E3" s="9">
        <f t="shared" ref="E3:F61" si="0">IF(B3="MISSING","N/A",C3-D3)</f>
        <v>0</v>
      </c>
      <c r="F3" s="9">
        <v>0</v>
      </c>
      <c r="G3" t="str">
        <f t="shared" ref="G3:G61" si="1">IF(B3="MISSING","Missing",IF(E3&lt;&gt;0,"Amount Mismatch","Match"))</f>
        <v>Match</v>
      </c>
    </row>
    <row r="4" spans="1:12" x14ac:dyDescent="0.25">
      <c r="A4" t="str">
        <v>TXN-1003</v>
      </c>
      <c r="B4" t="str">
        <f>IFERROR(VLOOKUP(A4,System_B!$A:$A,1,0),"MISSING")</f>
        <v>TXN-1003</v>
      </c>
      <c r="C4" s="9">
        <f>VLOOKUP(A4,System_A!$A$4:$F$63,5,FALSE)</f>
        <v>213851.3</v>
      </c>
      <c r="D4" s="9">
        <f>IFERROR(VLOOKUP(B4,System_B!$A$4:$F$60,5,FALSE),0)</f>
        <v>213851.3</v>
      </c>
      <c r="E4" s="9">
        <f t="shared" si="0"/>
        <v>0</v>
      </c>
      <c r="F4" s="9">
        <v>0</v>
      </c>
      <c r="G4" t="str">
        <f t="shared" si="1"/>
        <v>Match</v>
      </c>
    </row>
    <row r="5" spans="1:12" x14ac:dyDescent="0.25">
      <c r="A5" t="str">
        <v>TXN-1004</v>
      </c>
      <c r="B5" t="str">
        <f>IFERROR(VLOOKUP(A5,System_B!$A:$A,1,0),"MISSING")</f>
        <v>TXN-1004</v>
      </c>
      <c r="C5" s="9">
        <f>VLOOKUP(A5,System_A!$A$4:$F$63,5,FALSE)</f>
        <v>255150.87</v>
      </c>
      <c r="D5" s="9">
        <f>IFERROR(VLOOKUP(B5,System_B!$A$4:$F$60,5,FALSE),0)</f>
        <v>255150.87</v>
      </c>
      <c r="E5" s="9">
        <f t="shared" si="0"/>
        <v>0</v>
      </c>
      <c r="F5" s="9">
        <v>0</v>
      </c>
      <c r="G5" t="str">
        <f t="shared" si="1"/>
        <v>Match</v>
      </c>
    </row>
    <row r="6" spans="1:12" x14ac:dyDescent="0.25">
      <c r="A6" t="str">
        <v>TXN-1005</v>
      </c>
      <c r="B6" t="str">
        <f>IFERROR(VLOOKUP(A6,System_B!$A:$A,1,0),"MISSING")</f>
        <v>TXN-1005</v>
      </c>
      <c r="C6" s="9">
        <f>VLOOKUP(A6,System_A!$A$4:$F$63,5,FALSE)</f>
        <v>212662.31</v>
      </c>
      <c r="D6" s="9">
        <f>IFERROR(VLOOKUP(B6,System_B!$A$4:$F$60,5,FALSE),0)</f>
        <v>212449.65</v>
      </c>
      <c r="E6" s="9">
        <f t="shared" si="0"/>
        <v>212.66000000000349</v>
      </c>
      <c r="F6" s="9">
        <v>212.66000000000349</v>
      </c>
      <c r="G6" t="str">
        <f t="shared" si="1"/>
        <v>Amount Mismatch</v>
      </c>
    </row>
    <row r="7" spans="1:12" x14ac:dyDescent="0.25">
      <c r="A7" t="str">
        <v>TXN-1006</v>
      </c>
      <c r="B7" t="str">
        <f>IFERROR(VLOOKUP(A7,System_B!$A:$A,1,0),"MISSING")</f>
        <v>TXN-1006</v>
      </c>
      <c r="C7" s="9">
        <f>VLOOKUP(A7,System_A!$A$4:$F$63,5,FALSE)</f>
        <v>380609.65</v>
      </c>
      <c r="D7" s="9">
        <f>IFERROR(VLOOKUP(B7,System_B!$A$4:$F$60,5,FALSE),0)</f>
        <v>380609.65</v>
      </c>
      <c r="E7" s="9">
        <f t="shared" si="0"/>
        <v>0</v>
      </c>
      <c r="F7" s="9">
        <v>0</v>
      </c>
      <c r="G7" t="str">
        <f t="shared" si="1"/>
        <v>Match</v>
      </c>
    </row>
    <row r="8" spans="1:12" x14ac:dyDescent="0.25">
      <c r="A8" t="str">
        <v>TXN-1007</v>
      </c>
      <c r="B8" t="str">
        <f>IFERROR(VLOOKUP(A8,System_B!$A:$A,1,0),"MISSING")</f>
        <v>TXN-1007</v>
      </c>
      <c r="C8" s="9">
        <f>VLOOKUP(A8,System_A!$A$4:$F$63,5,FALSE)</f>
        <v>81962.350000000006</v>
      </c>
      <c r="D8" s="9">
        <f>IFERROR(VLOOKUP(B8,System_B!$A$4:$F$60,5,FALSE),0)</f>
        <v>81962.350000000006</v>
      </c>
      <c r="E8" s="9">
        <f t="shared" si="0"/>
        <v>0</v>
      </c>
      <c r="F8" s="9">
        <v>0</v>
      </c>
      <c r="G8" t="str">
        <f t="shared" si="1"/>
        <v>Match</v>
      </c>
    </row>
    <row r="9" spans="1:12" x14ac:dyDescent="0.25">
      <c r="A9" t="str">
        <v>TXN-1008</v>
      </c>
      <c r="B9" t="str">
        <f>IFERROR(VLOOKUP(A9,System_B!$A:$A,1,0),"MISSING")</f>
        <v>MISSING</v>
      </c>
      <c r="C9" s="9">
        <f>VLOOKUP(A9,System_A!$A$4:$F$63,5,FALSE)</f>
        <v>52874.61</v>
      </c>
      <c r="D9" s="9">
        <f>IFERROR(VLOOKUP(B9,System_B!$A$4:$F$60,5,FALSE),0)</f>
        <v>0</v>
      </c>
      <c r="E9" s="9" t="str">
        <f t="shared" si="0"/>
        <v>N/A</v>
      </c>
      <c r="F9" s="9">
        <v>0</v>
      </c>
      <c r="G9" t="str">
        <f t="shared" si="1"/>
        <v>Missing</v>
      </c>
    </row>
    <row r="10" spans="1:12" x14ac:dyDescent="0.25">
      <c r="A10" t="str">
        <v>TXN-1009</v>
      </c>
      <c r="B10" t="str">
        <f>IFERROR(VLOOKUP(A10,System_B!$A:$A,1,0),"MISSING")</f>
        <v>TXN-1009</v>
      </c>
      <c r="C10" s="9">
        <f>VLOOKUP(A10,System_A!$A$4:$F$63,5,FALSE)</f>
        <v>366217.23</v>
      </c>
      <c r="D10" s="9">
        <f>IFERROR(VLOOKUP(B10,System_B!$A$4:$F$60,5,FALSE),0)</f>
        <v>366217.23</v>
      </c>
      <c r="E10" s="9">
        <f t="shared" si="0"/>
        <v>0</v>
      </c>
      <c r="F10" s="9">
        <v>0</v>
      </c>
      <c r="G10" t="str">
        <f t="shared" si="1"/>
        <v>Match</v>
      </c>
    </row>
    <row r="11" spans="1:12" x14ac:dyDescent="0.25">
      <c r="A11" t="str">
        <v>TXN-1010</v>
      </c>
      <c r="B11" t="str">
        <f>IFERROR(VLOOKUP(A11,System_B!$A:$A,1,0),"MISSING")</f>
        <v>TXN-1010</v>
      </c>
      <c r="C11" s="9">
        <f>VLOOKUP(A11,System_A!$A$4:$F$63,5,FALSE)</f>
        <v>278260.11</v>
      </c>
      <c r="D11" s="9">
        <f>IFERROR(VLOOKUP(B11,System_B!$A$4:$F$60,5,FALSE),0)</f>
        <v>278260.11</v>
      </c>
      <c r="E11" s="9">
        <f t="shared" si="0"/>
        <v>0</v>
      </c>
      <c r="F11" s="9">
        <v>0</v>
      </c>
      <c r="G11" t="str">
        <f t="shared" si="1"/>
        <v>Match</v>
      </c>
    </row>
    <row r="12" spans="1:12" x14ac:dyDescent="0.25">
      <c r="A12" t="str">
        <v>TXN-1011</v>
      </c>
      <c r="B12" t="str">
        <f>IFERROR(VLOOKUP(A12,System_B!$A:$A,1,0),"MISSING")</f>
        <v>TXN-1011</v>
      </c>
      <c r="C12" s="9">
        <f>VLOOKUP(A12,System_A!$A$4:$F$63,5,FALSE)</f>
        <v>100182.85</v>
      </c>
      <c r="D12" s="9">
        <f>IFERROR(VLOOKUP(B12,System_B!$A$4:$F$60,5,FALSE),0)</f>
        <v>100182.85</v>
      </c>
      <c r="E12" s="9">
        <f t="shared" si="0"/>
        <v>0</v>
      </c>
      <c r="F12" s="9">
        <v>0</v>
      </c>
      <c r="G12" t="str">
        <f t="shared" si="1"/>
        <v>Match</v>
      </c>
    </row>
    <row r="13" spans="1:12" x14ac:dyDescent="0.25">
      <c r="A13" t="str">
        <v>TXN-1012</v>
      </c>
      <c r="B13" t="str">
        <f>IFERROR(VLOOKUP(A13,System_B!$A:$A,1,0),"MISSING")</f>
        <v>TXN-1012</v>
      </c>
      <c r="C13" s="9">
        <f>VLOOKUP(A13,System_A!$A$4:$F$63,5,FALSE)</f>
        <v>387668.83</v>
      </c>
      <c r="D13" s="9">
        <f>IFERROR(VLOOKUP(B13,System_B!$A$4:$F$60,5,FALSE),0)</f>
        <v>388056.5</v>
      </c>
      <c r="E13" s="9">
        <f t="shared" si="0"/>
        <v>-387.6699999999837</v>
      </c>
      <c r="F13" s="9">
        <v>-387.6699999999837</v>
      </c>
      <c r="G13" t="str">
        <f t="shared" si="1"/>
        <v>Amount Mismatch</v>
      </c>
    </row>
    <row r="14" spans="1:12" x14ac:dyDescent="0.25">
      <c r="A14" t="str">
        <v>TXN-1013</v>
      </c>
      <c r="B14" t="str">
        <f>IFERROR(VLOOKUP(A14,System_B!$A:$A,1,0),"MISSING")</f>
        <v>TXN-1013</v>
      </c>
      <c r="C14" s="9">
        <f>VLOOKUP(A14,System_A!$A$4:$F$63,5,FALSE)</f>
        <v>142596.93</v>
      </c>
      <c r="D14" s="9">
        <f>IFERROR(VLOOKUP(B14,System_B!$A$4:$F$60,5,FALSE),0)</f>
        <v>142596.93</v>
      </c>
      <c r="E14" s="9">
        <f t="shared" si="0"/>
        <v>0</v>
      </c>
      <c r="F14" s="9">
        <v>0</v>
      </c>
      <c r="G14" t="str">
        <f t="shared" si="1"/>
        <v>Match</v>
      </c>
    </row>
    <row r="15" spans="1:12" x14ac:dyDescent="0.25">
      <c r="A15" t="str">
        <v>TXN-1014</v>
      </c>
      <c r="B15" t="str">
        <f>IFERROR(VLOOKUP(A15,System_B!$A:$A,1,0),"MISSING")</f>
        <v>TXN-1014</v>
      </c>
      <c r="C15" s="9">
        <f>VLOOKUP(A15,System_A!$A$4:$F$63,5,FALSE)</f>
        <v>180859</v>
      </c>
      <c r="D15" s="9">
        <f>IFERROR(VLOOKUP(B15,System_B!$A$4:$F$60,5,FALSE),0)</f>
        <v>180859</v>
      </c>
      <c r="E15" s="9">
        <f t="shared" si="0"/>
        <v>0</v>
      </c>
      <c r="F15" s="9">
        <v>0</v>
      </c>
      <c r="G15" t="str">
        <f t="shared" si="1"/>
        <v>Match</v>
      </c>
    </row>
    <row r="16" spans="1:12" x14ac:dyDescent="0.25">
      <c r="A16" t="str">
        <v>TXN-1015</v>
      </c>
      <c r="B16" t="str">
        <f>IFERROR(VLOOKUP(A16,System_B!$A:$A,1,0),"MISSING")</f>
        <v>TXN-1015</v>
      </c>
      <c r="C16" s="9">
        <f>VLOOKUP(A16,System_A!$A$4:$F$63,5,FALSE)</f>
        <v>306519.84999999998</v>
      </c>
      <c r="D16" s="9">
        <f>IFERROR(VLOOKUP(B16,System_B!$A$4:$F$60,5,FALSE),0)</f>
        <v>306519.84999999998</v>
      </c>
      <c r="E16" s="9">
        <f t="shared" si="0"/>
        <v>0</v>
      </c>
      <c r="F16" s="9">
        <v>0</v>
      </c>
      <c r="G16" t="str">
        <f t="shared" si="1"/>
        <v>Match</v>
      </c>
    </row>
    <row r="17" spans="1:7" x14ac:dyDescent="0.25">
      <c r="A17" t="str">
        <v>TXN-1016</v>
      </c>
      <c r="B17" t="str">
        <f>IFERROR(VLOOKUP(A17,System_B!$A:$A,1,0),"MISSING")</f>
        <v>TXN-1016</v>
      </c>
      <c r="C17" s="9">
        <f>VLOOKUP(A17,System_A!$A$4:$F$63,5,FALSE)</f>
        <v>233818.8</v>
      </c>
      <c r="D17" s="9">
        <f>IFERROR(VLOOKUP(B17,System_B!$A$4:$F$60,5,FALSE),0)</f>
        <v>233818.8</v>
      </c>
      <c r="E17" s="9">
        <f t="shared" si="0"/>
        <v>0</v>
      </c>
      <c r="F17" s="9">
        <v>0</v>
      </c>
      <c r="G17" t="str">
        <f t="shared" si="1"/>
        <v>Match</v>
      </c>
    </row>
    <row r="18" spans="1:7" x14ac:dyDescent="0.25">
      <c r="A18" t="str">
        <v>TXN-1017</v>
      </c>
      <c r="B18" t="str">
        <f>IFERROR(VLOOKUP(A18,System_B!$A:$A,1,0),"MISSING")</f>
        <v>TXN-1017</v>
      </c>
      <c r="C18" s="9">
        <f>VLOOKUP(A18,System_A!$A$4:$F$63,5,FALSE)</f>
        <v>422211.7</v>
      </c>
      <c r="D18" s="9">
        <f>IFERROR(VLOOKUP(B18,System_B!$A$4:$F$60,5,FALSE),0)</f>
        <v>422211.7</v>
      </c>
      <c r="E18" s="9">
        <f t="shared" si="0"/>
        <v>0</v>
      </c>
      <c r="F18" s="9">
        <v>0</v>
      </c>
      <c r="G18" t="str">
        <f t="shared" si="1"/>
        <v>Match</v>
      </c>
    </row>
    <row r="19" spans="1:7" x14ac:dyDescent="0.25">
      <c r="A19" t="str">
        <v>TXN-1018</v>
      </c>
      <c r="B19" t="str">
        <f>IFERROR(VLOOKUP(A19,System_B!$A:$A,1,0),"MISSING")</f>
        <v>TXN-1018</v>
      </c>
      <c r="C19" s="9">
        <f>VLOOKUP(A19,System_A!$A$4:$F$63,5,FALSE)</f>
        <v>203576.57</v>
      </c>
      <c r="D19" s="9">
        <f>IFERROR(VLOOKUP(B19,System_B!$A$4:$F$60,5,FALSE),0)</f>
        <v>203576.57</v>
      </c>
      <c r="E19" s="9">
        <f t="shared" si="0"/>
        <v>0</v>
      </c>
      <c r="F19" s="9">
        <v>0</v>
      </c>
      <c r="G19" t="str">
        <f t="shared" si="1"/>
        <v>Match</v>
      </c>
    </row>
    <row r="20" spans="1:7" x14ac:dyDescent="0.25">
      <c r="A20" t="str">
        <v>TXN-1019</v>
      </c>
      <c r="B20" t="str">
        <f>IFERROR(VLOOKUP(A20,System_B!$A:$A,1,0),"MISSING")</f>
        <v>MISSING</v>
      </c>
      <c r="C20" s="9">
        <f>VLOOKUP(A20,System_A!$A$4:$F$63,5,FALSE)</f>
        <v>110250.14</v>
      </c>
      <c r="D20" s="9">
        <f>IFERROR(VLOOKUP(B20,System_B!$A$4:$F$60,5,FALSE),0)</f>
        <v>0</v>
      </c>
      <c r="E20" s="9" t="str">
        <f t="shared" si="0"/>
        <v>N/A</v>
      </c>
      <c r="F20" s="9">
        <v>0</v>
      </c>
      <c r="G20" t="str">
        <f t="shared" si="1"/>
        <v>Missing</v>
      </c>
    </row>
    <row r="21" spans="1:7" x14ac:dyDescent="0.25">
      <c r="A21" t="str">
        <v>TXN-1020</v>
      </c>
      <c r="B21" t="str">
        <f>IFERROR(VLOOKUP(A21,System_B!$A:$A,1,0),"MISSING")</f>
        <v>TXN-1020</v>
      </c>
      <c r="C21" s="9">
        <f>VLOOKUP(A21,System_A!$A$4:$F$63,5,FALSE)</f>
        <v>75721.440000000002</v>
      </c>
      <c r="D21" s="9">
        <f>IFERROR(VLOOKUP(B21,System_B!$A$4:$F$60,5,FALSE),0)</f>
        <v>75721.440000000002</v>
      </c>
      <c r="E21" s="9">
        <f t="shared" si="0"/>
        <v>0</v>
      </c>
      <c r="F21" s="9">
        <v>0</v>
      </c>
      <c r="G21" t="str">
        <f t="shared" si="1"/>
        <v>Match</v>
      </c>
    </row>
    <row r="22" spans="1:7" x14ac:dyDescent="0.25">
      <c r="A22" t="str">
        <v>TXN-1021</v>
      </c>
      <c r="B22" t="str">
        <f>IFERROR(VLOOKUP(A22,System_B!$A:$A,1,0),"MISSING")</f>
        <v>TXN-1021</v>
      </c>
      <c r="C22" s="9">
        <f>VLOOKUP(A22,System_A!$A$4:$F$63,5,FALSE)</f>
        <v>135057.1</v>
      </c>
      <c r="D22" s="9">
        <f>IFERROR(VLOOKUP(B22,System_B!$A$4:$F$60,5,FALSE),0)</f>
        <v>135057.1</v>
      </c>
      <c r="E22" s="9">
        <f t="shared" si="0"/>
        <v>0</v>
      </c>
      <c r="F22" s="9">
        <v>0</v>
      </c>
      <c r="G22" t="str">
        <f t="shared" si="1"/>
        <v>Match</v>
      </c>
    </row>
    <row r="23" spans="1:7" x14ac:dyDescent="0.25">
      <c r="A23" t="str">
        <v>TXN-1022</v>
      </c>
      <c r="B23" t="str">
        <f>IFERROR(VLOOKUP(A23,System_B!$A:$A,1,0),"MISSING")</f>
        <v>TXN-1022</v>
      </c>
      <c r="C23" s="9">
        <f>VLOOKUP(A23,System_A!$A$4:$F$63,5,FALSE)</f>
        <v>184188.24</v>
      </c>
      <c r="D23" s="9">
        <f>IFERROR(VLOOKUP(B23,System_B!$A$4:$F$60,5,FALSE),0)</f>
        <v>184188.24</v>
      </c>
      <c r="E23" s="9">
        <f t="shared" si="0"/>
        <v>0</v>
      </c>
      <c r="F23" s="9">
        <v>0</v>
      </c>
      <c r="G23" t="str">
        <f t="shared" si="1"/>
        <v>Match</v>
      </c>
    </row>
    <row r="24" spans="1:7" x14ac:dyDescent="0.25">
      <c r="A24" t="str">
        <v>TXN-1023</v>
      </c>
      <c r="B24" t="str">
        <f>IFERROR(VLOOKUP(A24,System_B!$A:$A,1,0),"MISSING")</f>
        <v>TXN-1023</v>
      </c>
      <c r="C24" s="9">
        <f>VLOOKUP(A24,System_A!$A$4:$F$63,5,FALSE)</f>
        <v>379112.17</v>
      </c>
      <c r="D24" s="9">
        <f>IFERROR(VLOOKUP(B24,System_B!$A$4:$F$60,5,FALSE),0)</f>
        <v>379491.28</v>
      </c>
      <c r="E24" s="9">
        <f t="shared" si="0"/>
        <v>-379.11000000004424</v>
      </c>
      <c r="F24" s="9">
        <v>-379.11000000004424</v>
      </c>
      <c r="G24" t="str">
        <f t="shared" si="1"/>
        <v>Amount Mismatch</v>
      </c>
    </row>
    <row r="25" spans="1:7" x14ac:dyDescent="0.25">
      <c r="A25" t="str">
        <v>TXN-1024</v>
      </c>
      <c r="B25" t="str">
        <f>IFERROR(VLOOKUP(A25,System_B!$A:$A,1,0),"MISSING")</f>
        <v>TXN-1024</v>
      </c>
      <c r="C25" s="9">
        <f>VLOOKUP(A25,System_A!$A$4:$F$63,5,FALSE)</f>
        <v>397079.29</v>
      </c>
      <c r="D25" s="9">
        <f>IFERROR(VLOOKUP(B25,System_B!$A$4:$F$60,5,FALSE),0)</f>
        <v>397079.29</v>
      </c>
      <c r="E25" s="9">
        <f t="shared" si="0"/>
        <v>0</v>
      </c>
      <c r="F25" s="9">
        <v>0</v>
      </c>
      <c r="G25" t="str">
        <f t="shared" si="1"/>
        <v>Match</v>
      </c>
    </row>
    <row r="26" spans="1:7" x14ac:dyDescent="0.25">
      <c r="A26" t="str">
        <v>TXN-1025</v>
      </c>
      <c r="B26" t="str">
        <f>IFERROR(VLOOKUP(A26,System_B!$A:$A,1,0),"MISSING")</f>
        <v>TXN-1025</v>
      </c>
      <c r="C26" s="9">
        <f>VLOOKUP(A26,System_A!$A$4:$F$63,5,FALSE)</f>
        <v>193901.55</v>
      </c>
      <c r="D26" s="9">
        <f>IFERROR(VLOOKUP(B26,System_B!$A$4:$F$60,5,FALSE),0)</f>
        <v>193901.55</v>
      </c>
      <c r="E26" s="9">
        <f t="shared" si="0"/>
        <v>0</v>
      </c>
      <c r="F26" s="9">
        <v>0</v>
      </c>
      <c r="G26" t="str">
        <f t="shared" si="1"/>
        <v>Match</v>
      </c>
    </row>
    <row r="27" spans="1:7" x14ac:dyDescent="0.25">
      <c r="A27" t="str">
        <v>TXN-1026</v>
      </c>
      <c r="B27" t="str">
        <f>IFERROR(VLOOKUP(A27,System_B!$A:$A,1,0),"MISSING")</f>
        <v>TXN-1026</v>
      </c>
      <c r="C27" s="9">
        <f>VLOOKUP(A27,System_A!$A$4:$F$63,5,FALSE)</f>
        <v>431085.95</v>
      </c>
      <c r="D27" s="9">
        <f>IFERROR(VLOOKUP(B27,System_B!$A$4:$F$60,5,FALSE),0)</f>
        <v>431085.95</v>
      </c>
      <c r="E27" s="9">
        <f t="shared" si="0"/>
        <v>0</v>
      </c>
      <c r="F27" s="9">
        <v>0</v>
      </c>
      <c r="G27" t="str">
        <f t="shared" si="1"/>
        <v>Match</v>
      </c>
    </row>
    <row r="28" spans="1:7" x14ac:dyDescent="0.25">
      <c r="A28" t="str">
        <v>TXN-1027</v>
      </c>
      <c r="B28" t="str">
        <f>IFERROR(VLOOKUP(A28,System_B!$A:$A,1,0),"MISSING")</f>
        <v>TXN-1027</v>
      </c>
      <c r="C28" s="9">
        <f>VLOOKUP(A28,System_A!$A$4:$F$63,5,FALSE)</f>
        <v>376684.51</v>
      </c>
      <c r="D28" s="9">
        <f>IFERROR(VLOOKUP(B28,System_B!$A$4:$F$60,5,FALSE),0)</f>
        <v>376684.51</v>
      </c>
      <c r="E28" s="9">
        <f t="shared" si="0"/>
        <v>0</v>
      </c>
      <c r="F28" s="9">
        <v>0</v>
      </c>
      <c r="G28" t="str">
        <f t="shared" si="1"/>
        <v>Match</v>
      </c>
    </row>
    <row r="29" spans="1:7" x14ac:dyDescent="0.25">
      <c r="A29" t="str">
        <v>TXN-1028</v>
      </c>
      <c r="B29" t="str">
        <f>IFERROR(VLOOKUP(A29,System_B!$A:$A,1,0),"MISSING")</f>
        <v>TXN-1028</v>
      </c>
      <c r="C29" s="9">
        <f>VLOOKUP(A29,System_A!$A$4:$F$63,5,FALSE)</f>
        <v>220208.8</v>
      </c>
      <c r="D29" s="9">
        <f>IFERROR(VLOOKUP(B29,System_B!$A$4:$F$60,5,FALSE),0)</f>
        <v>220208.8</v>
      </c>
      <c r="E29" s="9">
        <f t="shared" si="0"/>
        <v>0</v>
      </c>
      <c r="F29" s="9">
        <v>0</v>
      </c>
      <c r="G29" t="str">
        <f t="shared" si="1"/>
        <v>Match</v>
      </c>
    </row>
    <row r="30" spans="1:7" x14ac:dyDescent="0.25">
      <c r="A30" t="str">
        <v>TXN-1029</v>
      </c>
      <c r="B30" t="str">
        <f>IFERROR(VLOOKUP(A30,System_B!$A:$A,1,0),"MISSING")</f>
        <v>TXN-1029</v>
      </c>
      <c r="C30" s="9">
        <f>VLOOKUP(A30,System_A!$A$4:$F$63,5,FALSE)</f>
        <v>382171.29</v>
      </c>
      <c r="D30" s="9">
        <f>IFERROR(VLOOKUP(B30,System_B!$A$4:$F$60,5,FALSE),0)</f>
        <v>382171.29</v>
      </c>
      <c r="E30" s="9">
        <f t="shared" si="0"/>
        <v>0</v>
      </c>
      <c r="F30" s="9">
        <v>0</v>
      </c>
      <c r="G30" t="str">
        <f t="shared" si="1"/>
        <v>Match</v>
      </c>
    </row>
    <row r="31" spans="1:7" x14ac:dyDescent="0.25">
      <c r="A31" t="str">
        <v>TXN-1030</v>
      </c>
      <c r="B31" t="str">
        <f>IFERROR(VLOOKUP(A31,System_B!$A:$A,1,0),"MISSING")</f>
        <v>TXN-1030</v>
      </c>
      <c r="C31" s="9">
        <f>VLOOKUP(A31,System_A!$A$4:$F$63,5,FALSE)</f>
        <v>421626.33</v>
      </c>
      <c r="D31" s="9">
        <f>IFERROR(VLOOKUP(B31,System_B!$A$4:$F$60,5,FALSE),0)</f>
        <v>421626.33</v>
      </c>
      <c r="E31" s="9">
        <f t="shared" si="0"/>
        <v>0</v>
      </c>
      <c r="F31" s="9">
        <v>0</v>
      </c>
      <c r="G31" t="str">
        <f t="shared" si="1"/>
        <v>Match</v>
      </c>
    </row>
    <row r="32" spans="1:7" x14ac:dyDescent="0.25">
      <c r="A32" t="str">
        <v>TXN-1031</v>
      </c>
      <c r="B32" t="str">
        <f>IFERROR(VLOOKUP(A32,System_B!$A:$A,1,0),"MISSING")</f>
        <v>MISSING</v>
      </c>
      <c r="C32" s="9">
        <f>VLOOKUP(A32,System_A!$A$4:$F$63,5,FALSE)</f>
        <v>190087.36</v>
      </c>
      <c r="D32" s="9">
        <f>IFERROR(VLOOKUP(B32,System_B!$A$4:$F$60,5,FALSE),0)</f>
        <v>0</v>
      </c>
      <c r="E32" s="9" t="str">
        <f t="shared" si="0"/>
        <v>N/A</v>
      </c>
      <c r="F32" s="9">
        <v>0</v>
      </c>
      <c r="G32" t="str">
        <f t="shared" si="1"/>
        <v>Missing</v>
      </c>
    </row>
    <row r="33" spans="1:7" x14ac:dyDescent="0.25">
      <c r="A33" t="str">
        <v>TXN-1032</v>
      </c>
      <c r="B33" t="str">
        <f>IFERROR(VLOOKUP(A33,System_B!$A:$A,1,0),"MISSING")</f>
        <v>TXN-1032</v>
      </c>
      <c r="C33" s="9">
        <f>VLOOKUP(A33,System_A!$A$4:$F$63,5,FALSE)</f>
        <v>301477.57</v>
      </c>
      <c r="D33" s="9">
        <f>IFERROR(VLOOKUP(B33,System_B!$A$4:$F$60,5,FALSE),0)</f>
        <v>301477.57</v>
      </c>
      <c r="E33" s="9">
        <f t="shared" si="0"/>
        <v>0</v>
      </c>
      <c r="F33" s="9">
        <v>0</v>
      </c>
      <c r="G33" t="str">
        <f t="shared" si="1"/>
        <v>Match</v>
      </c>
    </row>
    <row r="34" spans="1:7" x14ac:dyDescent="0.25">
      <c r="A34" t="str">
        <v>TXN-1033</v>
      </c>
      <c r="B34" t="str">
        <f>IFERROR(VLOOKUP(A34,System_B!$A:$A,1,0),"MISSING")</f>
        <v>TXN-1033</v>
      </c>
      <c r="C34" s="9">
        <f>VLOOKUP(A34,System_A!$A$4:$F$63,5,FALSE)</f>
        <v>439967.33</v>
      </c>
      <c r="D34" s="9">
        <f>IFERROR(VLOOKUP(B34,System_B!$A$4:$F$60,5,FALSE),0)</f>
        <v>439967.33</v>
      </c>
      <c r="E34" s="9">
        <f t="shared" si="0"/>
        <v>0</v>
      </c>
      <c r="F34" s="9">
        <v>0</v>
      </c>
      <c r="G34" t="str">
        <f t="shared" si="1"/>
        <v>Match</v>
      </c>
    </row>
    <row r="35" spans="1:7" x14ac:dyDescent="0.25">
      <c r="A35" t="str">
        <v>TXN-1034</v>
      </c>
      <c r="B35" t="str">
        <f>IFERROR(VLOOKUP(A35,System_B!$A:$A,1,0),"MISSING")</f>
        <v>TXN-1034</v>
      </c>
      <c r="C35" s="9">
        <f>VLOOKUP(A35,System_A!$A$4:$F$63,5,FALSE)</f>
        <v>439614.75</v>
      </c>
      <c r="D35" s="9">
        <f>IFERROR(VLOOKUP(B35,System_B!$A$4:$F$60,5,FALSE),0)</f>
        <v>439614.75</v>
      </c>
      <c r="E35" s="9">
        <f t="shared" si="0"/>
        <v>0</v>
      </c>
      <c r="F35" s="9">
        <v>0</v>
      </c>
      <c r="G35" t="str">
        <f t="shared" si="1"/>
        <v>Match</v>
      </c>
    </row>
    <row r="36" spans="1:7" x14ac:dyDescent="0.25">
      <c r="A36" t="str">
        <v>TXN-1035</v>
      </c>
      <c r="B36" t="str">
        <f>IFERROR(VLOOKUP(A36,System_B!$A:$A,1,0),"MISSING")</f>
        <v>TXN-1035</v>
      </c>
      <c r="C36" s="9">
        <f>VLOOKUP(A36,System_A!$A$4:$F$63,5,FALSE)</f>
        <v>489102.32</v>
      </c>
      <c r="D36" s="9">
        <f>IFERROR(VLOOKUP(B36,System_B!$A$4:$F$60,5,FALSE),0)</f>
        <v>489102.32</v>
      </c>
      <c r="E36" s="9">
        <f t="shared" si="0"/>
        <v>0</v>
      </c>
      <c r="F36" s="9">
        <v>0</v>
      </c>
      <c r="G36" t="str">
        <f t="shared" si="1"/>
        <v>Match</v>
      </c>
    </row>
    <row r="37" spans="1:7" x14ac:dyDescent="0.25">
      <c r="A37" t="str">
        <v>TXN-1036</v>
      </c>
      <c r="B37" t="str">
        <f>IFERROR(VLOOKUP(A37,System_B!$A:$A,1,0),"MISSING")</f>
        <v>TXN-1036</v>
      </c>
      <c r="C37" s="9">
        <f>VLOOKUP(A37,System_A!$A$4:$F$63,5,FALSE)</f>
        <v>473690.1</v>
      </c>
      <c r="D37" s="9">
        <f>IFERROR(VLOOKUP(B37,System_B!$A$4:$F$60,5,FALSE),0)</f>
        <v>473690.1</v>
      </c>
      <c r="E37" s="9">
        <f t="shared" si="0"/>
        <v>0</v>
      </c>
      <c r="F37" s="9">
        <v>0</v>
      </c>
      <c r="G37" t="str">
        <f t="shared" si="1"/>
        <v>Match</v>
      </c>
    </row>
    <row r="38" spans="1:7" x14ac:dyDescent="0.25">
      <c r="A38" t="str">
        <v>TXN-1037</v>
      </c>
      <c r="B38" t="str">
        <f>IFERROR(VLOOKUP(A38,System_B!$A:$A,1,0),"MISSING")</f>
        <v>TXN-1037</v>
      </c>
      <c r="C38" s="9">
        <f>VLOOKUP(A38,System_A!$A$4:$F$63,5,FALSE)</f>
        <v>214453.28</v>
      </c>
      <c r="D38" s="9">
        <f>IFERROR(VLOOKUP(B38,System_B!$A$4:$F$60,5,FALSE),0)</f>
        <v>225175.94</v>
      </c>
      <c r="E38" s="9">
        <f t="shared" si="0"/>
        <v>-10722.660000000003</v>
      </c>
      <c r="F38" s="9">
        <v>-10722.660000000003</v>
      </c>
      <c r="G38" t="str">
        <f t="shared" si="1"/>
        <v>Amount Mismatch</v>
      </c>
    </row>
    <row r="39" spans="1:7" x14ac:dyDescent="0.25">
      <c r="A39" t="str">
        <v>TXN-1038</v>
      </c>
      <c r="B39" t="str">
        <f>IFERROR(VLOOKUP(A39,System_B!$A:$A,1,0),"MISSING")</f>
        <v>TXN-1038</v>
      </c>
      <c r="C39" s="9">
        <f>VLOOKUP(A39,System_A!$A$4:$F$63,5,FALSE)</f>
        <v>357909.74</v>
      </c>
      <c r="D39" s="9">
        <f>IFERROR(VLOOKUP(B39,System_B!$A$4:$F$60,5,FALSE),0)</f>
        <v>357909.74</v>
      </c>
      <c r="E39" s="9">
        <f t="shared" si="0"/>
        <v>0</v>
      </c>
      <c r="F39" s="9">
        <v>0</v>
      </c>
      <c r="G39" t="str">
        <f t="shared" si="1"/>
        <v>Match</v>
      </c>
    </row>
    <row r="40" spans="1:7" x14ac:dyDescent="0.25">
      <c r="A40" t="str">
        <v>TXN-1039</v>
      </c>
      <c r="B40" t="str">
        <f>IFERROR(VLOOKUP(A40,System_B!$A:$A,1,0),"MISSING")</f>
        <v>TXN-1039</v>
      </c>
      <c r="C40" s="9">
        <f>VLOOKUP(A40,System_A!$A$4:$F$63,5,FALSE)</f>
        <v>228485.64</v>
      </c>
      <c r="D40" s="9">
        <f>IFERROR(VLOOKUP(B40,System_B!$A$4:$F$60,5,FALSE),0)</f>
        <v>228485.64</v>
      </c>
      <c r="E40" s="9">
        <f t="shared" si="0"/>
        <v>0</v>
      </c>
      <c r="F40" s="9">
        <v>0</v>
      </c>
      <c r="G40" t="str">
        <f t="shared" si="1"/>
        <v>Match</v>
      </c>
    </row>
    <row r="41" spans="1:7" x14ac:dyDescent="0.25">
      <c r="A41" t="str">
        <v>TXN-1040</v>
      </c>
      <c r="B41" t="str">
        <f>IFERROR(VLOOKUP(A41,System_B!$A:$A,1,0),"MISSING")</f>
        <v>TXN-1040</v>
      </c>
      <c r="C41" s="9">
        <f>VLOOKUP(A41,System_A!$A$4:$F$63,5,FALSE)</f>
        <v>15411.96</v>
      </c>
      <c r="D41" s="9">
        <f>IFERROR(VLOOKUP(B41,System_B!$A$4:$F$60,5,FALSE),0)</f>
        <v>15411.96</v>
      </c>
      <c r="E41" s="9">
        <f t="shared" si="0"/>
        <v>0</v>
      </c>
      <c r="F41" s="9">
        <v>0</v>
      </c>
      <c r="G41" t="str">
        <f t="shared" si="1"/>
        <v>Match</v>
      </c>
    </row>
    <row r="42" spans="1:7" x14ac:dyDescent="0.25">
      <c r="A42" t="str">
        <v>TXN-1041</v>
      </c>
      <c r="B42" t="str">
        <f>IFERROR(VLOOKUP(A42,System_B!$A:$A,1,0),"MISSING")</f>
        <v>TXN-1041</v>
      </c>
      <c r="C42" s="9">
        <f>VLOOKUP(A42,System_A!$A$4:$F$63,5,FALSE)</f>
        <v>8559.4699999999993</v>
      </c>
      <c r="D42" s="9">
        <f>IFERROR(VLOOKUP(B42,System_B!$A$4:$F$60,5,FALSE),0)</f>
        <v>8559.4699999999993</v>
      </c>
      <c r="E42" s="9">
        <f t="shared" si="0"/>
        <v>0</v>
      </c>
      <c r="F42" s="9">
        <v>0</v>
      </c>
      <c r="G42" t="str">
        <f t="shared" si="1"/>
        <v>Match</v>
      </c>
    </row>
    <row r="43" spans="1:7" x14ac:dyDescent="0.25">
      <c r="A43" t="str">
        <v>TXN-1042</v>
      </c>
      <c r="B43" t="str">
        <f>IFERROR(VLOOKUP(A43,System_B!$A:$A,1,0),"MISSING")</f>
        <v>TXN-1042</v>
      </c>
      <c r="C43" s="9">
        <f>VLOOKUP(A43,System_A!$A$4:$F$63,5,FALSE)</f>
        <v>453182.91</v>
      </c>
      <c r="D43" s="9">
        <f>IFERROR(VLOOKUP(B43,System_B!$A$4:$F$60,5,FALSE),0)</f>
        <v>453182.91</v>
      </c>
      <c r="E43" s="9">
        <f t="shared" si="0"/>
        <v>0</v>
      </c>
      <c r="F43" s="9">
        <v>0</v>
      </c>
      <c r="G43" t="str">
        <f t="shared" si="1"/>
        <v>Match</v>
      </c>
    </row>
    <row r="44" spans="1:7" x14ac:dyDescent="0.25">
      <c r="A44" t="str">
        <v>TXN-1043</v>
      </c>
      <c r="B44" t="str">
        <f>IFERROR(VLOOKUP(A44,System_B!$A:$A,1,0),"MISSING")</f>
        <v>TXN-1043</v>
      </c>
      <c r="C44" s="9">
        <f>VLOOKUP(A44,System_A!$A$4:$F$63,5,FALSE)</f>
        <v>142846.25</v>
      </c>
      <c r="D44" s="9">
        <f>IFERROR(VLOOKUP(B44,System_B!$A$4:$F$60,5,FALSE),0)</f>
        <v>142846.25</v>
      </c>
      <c r="E44" s="9">
        <f t="shared" si="0"/>
        <v>0</v>
      </c>
      <c r="F44" s="9">
        <v>0</v>
      </c>
      <c r="G44" t="str">
        <f t="shared" si="1"/>
        <v>Match</v>
      </c>
    </row>
    <row r="45" spans="1:7" x14ac:dyDescent="0.25">
      <c r="A45" t="str">
        <v>TXN-1044</v>
      </c>
      <c r="B45" t="str">
        <f>IFERROR(VLOOKUP(A45,System_B!$A:$A,1,0),"MISSING")</f>
        <v>TXN-1044</v>
      </c>
      <c r="C45" s="9">
        <f>VLOOKUP(A45,System_A!$A$4:$F$63,5,FALSE)</f>
        <v>363059.52</v>
      </c>
      <c r="D45" s="9">
        <f>IFERROR(VLOOKUP(B45,System_B!$A$4:$F$60,5,FALSE),0)</f>
        <v>363059.52</v>
      </c>
      <c r="E45" s="9">
        <f t="shared" si="0"/>
        <v>0</v>
      </c>
      <c r="F45" s="9">
        <v>0</v>
      </c>
      <c r="G45" t="str">
        <f t="shared" si="1"/>
        <v>Match</v>
      </c>
    </row>
    <row r="46" spans="1:7" x14ac:dyDescent="0.25">
      <c r="A46" t="str">
        <v>TXN-1045</v>
      </c>
      <c r="B46" t="str">
        <f>IFERROR(VLOOKUP(A46,System_B!$A:$A,1,0),"MISSING")</f>
        <v>TXN-1045</v>
      </c>
      <c r="C46" s="9">
        <f>VLOOKUP(A46,System_A!$A$4:$F$63,5,FALSE)</f>
        <v>393386.62</v>
      </c>
      <c r="D46" s="9">
        <f>IFERROR(VLOOKUP(B46,System_B!$A$4:$F$60,5,FALSE),0)</f>
        <v>393386.62</v>
      </c>
      <c r="E46" s="9">
        <f t="shared" si="0"/>
        <v>0</v>
      </c>
      <c r="F46" s="9">
        <v>0</v>
      </c>
      <c r="G46" t="str">
        <f t="shared" si="1"/>
        <v>Match</v>
      </c>
    </row>
    <row r="47" spans="1:7" x14ac:dyDescent="0.25">
      <c r="A47" t="str">
        <v>TXN-1046</v>
      </c>
      <c r="B47" t="str">
        <f>IFERROR(VLOOKUP(A47,System_B!$A:$A,1,0),"MISSING")</f>
        <v>TXN-1046</v>
      </c>
      <c r="C47" s="9">
        <f>VLOOKUP(A47,System_A!$A$4:$F$63,5,FALSE)</f>
        <v>331196.46000000002</v>
      </c>
      <c r="D47" s="9">
        <f>IFERROR(VLOOKUP(B47,System_B!$A$4:$F$60,5,FALSE),0)</f>
        <v>331196.46000000002</v>
      </c>
      <c r="E47" s="9">
        <f t="shared" si="0"/>
        <v>0</v>
      </c>
      <c r="F47" s="9">
        <v>0</v>
      </c>
      <c r="G47" t="str">
        <f t="shared" si="1"/>
        <v>Match</v>
      </c>
    </row>
    <row r="48" spans="1:7" x14ac:dyDescent="0.25">
      <c r="A48" t="str">
        <v>TXN-1047</v>
      </c>
      <c r="B48" t="str">
        <f>IFERROR(VLOOKUP(A48,System_B!$A:$A,1,0),"MISSING")</f>
        <v>TXN-1047</v>
      </c>
      <c r="C48" s="9">
        <f>VLOOKUP(A48,System_A!$A$4:$F$63,5,FALSE)</f>
        <v>432599.19</v>
      </c>
      <c r="D48" s="9">
        <f>IFERROR(VLOOKUP(B48,System_B!$A$4:$F$60,5,FALSE),0)</f>
        <v>432599.19</v>
      </c>
      <c r="E48" s="9">
        <f t="shared" si="0"/>
        <v>0</v>
      </c>
      <c r="F48" s="9">
        <v>0</v>
      </c>
      <c r="G48" t="str">
        <f t="shared" si="1"/>
        <v>Match</v>
      </c>
    </row>
    <row r="49" spans="1:7" x14ac:dyDescent="0.25">
      <c r="A49" t="str">
        <v>TXN-1048</v>
      </c>
      <c r="B49" t="str">
        <f>IFERROR(VLOOKUP(A49,System_B!$A:$A,1,0),"MISSING")</f>
        <v>TXN-1048</v>
      </c>
      <c r="C49" s="9">
        <f>VLOOKUP(A49,System_A!$A$4:$F$63,5,FALSE)</f>
        <v>365465.73</v>
      </c>
      <c r="D49" s="9">
        <f>IFERROR(VLOOKUP(B49,System_B!$A$4:$F$60,5,FALSE),0)</f>
        <v>365100.26</v>
      </c>
      <c r="E49" s="9">
        <f t="shared" si="0"/>
        <v>365.46999999997206</v>
      </c>
      <c r="F49" s="9">
        <v>365.46999999997206</v>
      </c>
      <c r="G49" t="str">
        <f t="shared" si="1"/>
        <v>Amount Mismatch</v>
      </c>
    </row>
    <row r="50" spans="1:7" x14ac:dyDescent="0.25">
      <c r="A50" t="str">
        <v>TXN-1049</v>
      </c>
      <c r="B50" t="str">
        <f>IFERROR(VLOOKUP(A50,System_B!$A:$A,1,0),"MISSING")</f>
        <v>TXN-1049</v>
      </c>
      <c r="C50" s="9">
        <f>VLOOKUP(A50,System_A!$A$4:$F$63,5,FALSE)</f>
        <v>270461.45</v>
      </c>
      <c r="D50" s="9">
        <f>IFERROR(VLOOKUP(B50,System_B!$A$4:$F$60,5,FALSE),0)</f>
        <v>270461.45</v>
      </c>
      <c r="E50" s="9">
        <f t="shared" si="0"/>
        <v>0</v>
      </c>
      <c r="F50" s="9">
        <v>0</v>
      </c>
      <c r="G50" t="str">
        <f t="shared" si="1"/>
        <v>Match</v>
      </c>
    </row>
    <row r="51" spans="1:7" x14ac:dyDescent="0.25">
      <c r="A51" t="str">
        <v>TXN-1050</v>
      </c>
      <c r="B51" t="str">
        <f>IFERROR(VLOOKUP(A51,System_B!$A:$A,1,0),"MISSING")</f>
        <v>TXN-1050</v>
      </c>
      <c r="C51" s="9">
        <f>VLOOKUP(A51,System_A!$A$4:$F$63,5,FALSE)</f>
        <v>234000.89</v>
      </c>
      <c r="D51" s="9">
        <f>IFERROR(VLOOKUP(B51,System_B!$A$4:$F$60,5,FALSE),0)</f>
        <v>234000.89</v>
      </c>
      <c r="E51" s="9">
        <f t="shared" si="0"/>
        <v>0</v>
      </c>
      <c r="F51" s="9">
        <v>0</v>
      </c>
      <c r="G51" t="str">
        <f t="shared" si="1"/>
        <v>Match</v>
      </c>
    </row>
    <row r="52" spans="1:7" x14ac:dyDescent="0.25">
      <c r="A52" t="str">
        <v>TXN-1051</v>
      </c>
      <c r="B52" t="str">
        <f>IFERROR(VLOOKUP(A52,System_B!$A:$A,1,0),"MISSING")</f>
        <v>TXN-1051</v>
      </c>
      <c r="C52" s="9">
        <f>VLOOKUP(A52,System_A!$A$4:$F$63,5,FALSE)</f>
        <v>30041.22</v>
      </c>
      <c r="D52" s="9">
        <f>IFERROR(VLOOKUP(B52,System_B!$A$4:$F$60,5,FALSE),0)</f>
        <v>30041.22</v>
      </c>
      <c r="E52" s="9">
        <f t="shared" si="0"/>
        <v>0</v>
      </c>
      <c r="F52" s="9">
        <v>0</v>
      </c>
      <c r="G52" t="str">
        <f t="shared" si="1"/>
        <v>Match</v>
      </c>
    </row>
    <row r="53" spans="1:7" x14ac:dyDescent="0.25">
      <c r="A53" t="str">
        <v>TXN-1052</v>
      </c>
      <c r="B53" t="str">
        <f>IFERROR(VLOOKUP(A53,System_B!$A:$A,1,0),"MISSING")</f>
        <v>TXN-1052</v>
      </c>
      <c r="C53" s="9">
        <f>VLOOKUP(A53,System_A!$A$4:$F$63,5,FALSE)</f>
        <v>87324</v>
      </c>
      <c r="D53" s="9">
        <f>IFERROR(VLOOKUP(B53,System_B!$A$4:$F$60,5,FALSE),0)</f>
        <v>87324</v>
      </c>
      <c r="E53" s="9">
        <f t="shared" si="0"/>
        <v>0</v>
      </c>
      <c r="F53" s="9">
        <v>0</v>
      </c>
      <c r="G53" t="str">
        <f t="shared" si="1"/>
        <v>Match</v>
      </c>
    </row>
    <row r="54" spans="1:7" x14ac:dyDescent="0.25">
      <c r="A54" t="str">
        <v>TXN-1053</v>
      </c>
      <c r="B54" t="str">
        <f>IFERROR(VLOOKUP(A54,System_B!$A:$A,1,0),"MISSING")</f>
        <v>TXN-1053</v>
      </c>
      <c r="C54" s="9">
        <f>VLOOKUP(A54,System_A!$A$4:$F$63,5,FALSE)</f>
        <v>451709.22</v>
      </c>
      <c r="D54" s="9">
        <f>IFERROR(VLOOKUP(B54,System_B!$A$4:$F$60,5,FALSE),0)</f>
        <v>451709.22</v>
      </c>
      <c r="E54" s="9">
        <f t="shared" si="0"/>
        <v>0</v>
      </c>
      <c r="F54" s="9">
        <v>0</v>
      </c>
      <c r="G54" t="str">
        <f t="shared" si="1"/>
        <v>Match</v>
      </c>
    </row>
    <row r="55" spans="1:7" x14ac:dyDescent="0.25">
      <c r="A55" t="str">
        <v>TXN-1054</v>
      </c>
      <c r="B55" t="str">
        <f>IFERROR(VLOOKUP(A55,System_B!$A:$A,1,0),"MISSING")</f>
        <v>TXN-1054</v>
      </c>
      <c r="C55" s="9">
        <f>VLOOKUP(A55,System_A!$A$4:$F$63,5,FALSE)</f>
        <v>136275.51</v>
      </c>
      <c r="D55" s="9">
        <f>IFERROR(VLOOKUP(B55,System_B!$A$4:$F$60,5,FALSE),0)</f>
        <v>136275.51</v>
      </c>
      <c r="E55" s="9">
        <f t="shared" si="0"/>
        <v>0</v>
      </c>
      <c r="F55" s="9">
        <v>0</v>
      </c>
      <c r="G55" t="str">
        <f t="shared" si="1"/>
        <v>Match</v>
      </c>
    </row>
    <row r="56" spans="1:7" x14ac:dyDescent="0.25">
      <c r="A56" t="str">
        <v>TXN-1055</v>
      </c>
      <c r="B56" t="str">
        <f>IFERROR(VLOOKUP(A56,System_B!$A:$A,1,0),"MISSING")</f>
        <v>TXN-1055</v>
      </c>
      <c r="C56" s="9">
        <f>VLOOKUP(A56,System_A!$A$4:$F$63,5,FALSE)</f>
        <v>332626.3</v>
      </c>
      <c r="D56" s="9">
        <f>IFERROR(VLOOKUP(B56,System_B!$A$4:$F$60,5,FALSE),0)</f>
        <v>332626.3</v>
      </c>
      <c r="E56" s="9">
        <f t="shared" si="0"/>
        <v>0</v>
      </c>
      <c r="F56" s="9">
        <v>0</v>
      </c>
      <c r="G56" t="str">
        <f t="shared" si="1"/>
        <v>Match</v>
      </c>
    </row>
    <row r="57" spans="1:7" x14ac:dyDescent="0.25">
      <c r="A57" t="str">
        <v>TXN-1056</v>
      </c>
      <c r="B57" t="str">
        <f>IFERROR(VLOOKUP(A57,System_B!$A:$A,1,0),"MISSING")</f>
        <v>TXN-1056</v>
      </c>
      <c r="C57" s="9">
        <f>VLOOKUP(A57,System_A!$A$4:$F$63,5,FALSE)</f>
        <v>112761.94</v>
      </c>
      <c r="D57" s="9">
        <f>IFERROR(VLOOKUP(B57,System_B!$A$4:$F$60,5,FALSE),0)</f>
        <v>112761.94</v>
      </c>
      <c r="E57" s="9">
        <f t="shared" si="0"/>
        <v>0</v>
      </c>
      <c r="F57" s="9">
        <v>0</v>
      </c>
      <c r="G57" t="str">
        <f t="shared" si="1"/>
        <v>Match</v>
      </c>
    </row>
    <row r="58" spans="1:7" x14ac:dyDescent="0.25">
      <c r="A58" t="str">
        <v>TXN-1057</v>
      </c>
      <c r="B58" t="str">
        <f>IFERROR(VLOOKUP(A58,System_B!$A:$A,1,0),"MISSING")</f>
        <v>TXN-1057</v>
      </c>
      <c r="C58" s="9">
        <f>VLOOKUP(A58,System_A!$A$4:$F$63,5,FALSE)</f>
        <v>375247.9</v>
      </c>
      <c r="D58" s="9">
        <f>IFERROR(VLOOKUP(B58,System_B!$A$4:$F$60,5,FALSE),0)</f>
        <v>375247.9</v>
      </c>
      <c r="E58" s="9">
        <f t="shared" si="0"/>
        <v>0</v>
      </c>
      <c r="F58" s="9">
        <v>0</v>
      </c>
      <c r="G58" t="str">
        <f t="shared" si="1"/>
        <v>Match</v>
      </c>
    </row>
    <row r="59" spans="1:7" x14ac:dyDescent="0.25">
      <c r="A59" t="str">
        <v>TXN-1058</v>
      </c>
      <c r="B59" t="str">
        <f>IFERROR(VLOOKUP(A59,System_B!$A:$A,1,0),"MISSING")</f>
        <v>TXN-1058</v>
      </c>
      <c r="C59" s="9">
        <f>VLOOKUP(A59,System_A!$A$4:$F$63,5,FALSE)</f>
        <v>253910.94</v>
      </c>
      <c r="D59" s="9">
        <f>IFERROR(VLOOKUP(B59,System_B!$A$4:$F$60,5,FALSE),0)</f>
        <v>253910.94</v>
      </c>
      <c r="E59" s="9">
        <f t="shared" si="0"/>
        <v>0</v>
      </c>
      <c r="F59" s="9">
        <v>0</v>
      </c>
      <c r="G59" t="str">
        <f t="shared" si="1"/>
        <v>Match</v>
      </c>
    </row>
    <row r="60" spans="1:7" x14ac:dyDescent="0.25">
      <c r="A60" t="str">
        <v>TXN-1059</v>
      </c>
      <c r="B60" t="str">
        <f>IFERROR(VLOOKUP(A60,System_B!$A:$A,1,0),"MISSING")</f>
        <v>TXN-1059</v>
      </c>
      <c r="C60" s="9">
        <f>VLOOKUP(A60,System_A!$A$4:$F$63,5,FALSE)</f>
        <v>44655.18</v>
      </c>
      <c r="D60" s="9">
        <f>IFERROR(VLOOKUP(B60,System_B!$A$4:$F$60,5,FALSE),0)</f>
        <v>44655.18</v>
      </c>
      <c r="E60" s="9">
        <f t="shared" si="0"/>
        <v>0</v>
      </c>
      <c r="F60" s="9">
        <v>0</v>
      </c>
      <c r="G60" t="str">
        <f t="shared" si="1"/>
        <v>Match</v>
      </c>
    </row>
    <row r="61" spans="1:7" x14ac:dyDescent="0.25">
      <c r="A61" t="str">
        <v>TXN-1060</v>
      </c>
      <c r="B61" t="str">
        <f>IFERROR(VLOOKUP(A61,System_B!$A:$A,1,0),"MISSING")</f>
        <v>TXN-1060</v>
      </c>
      <c r="C61" s="9">
        <f>VLOOKUP(A61,System_A!$A$4:$F$63,5,FALSE)</f>
        <v>339230.21</v>
      </c>
      <c r="D61" s="9">
        <f>IFERROR(VLOOKUP(B61,System_B!$A$4:$F$60,5,FALSE),0)</f>
        <v>339230.21</v>
      </c>
      <c r="E61" s="9">
        <f t="shared" si="0"/>
        <v>0</v>
      </c>
      <c r="F61" s="9">
        <v>0</v>
      </c>
      <c r="G61" t="str">
        <f t="shared" si="1"/>
        <v>Match</v>
      </c>
    </row>
  </sheetData>
  <pageMargins left="0.7" right="0.7" top="0.75" bottom="0.75" header="0.3" footer="0.3"/>
  <ignoredErrors>
    <ignoredError sqref="I2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>
      <selection activeCell="K36" sqref="K36"/>
    </sheetView>
  </sheetViews>
  <sheetFormatPr defaultRowHeight="15" x14ac:dyDescent="0.25"/>
  <cols>
    <col min="1" max="1" width="14" customWidth="1"/>
    <col min="2" max="2" width="65" customWidth="1"/>
  </cols>
  <sheetData>
    <row r="1" spans="1:2" ht="27.95" customHeight="1" x14ac:dyDescent="0.25">
      <c r="A1" s="15" t="s">
        <v>133</v>
      </c>
      <c r="B1" s="14"/>
    </row>
    <row r="2" spans="1:2" ht="15" customHeight="1" x14ac:dyDescent="0.25">
      <c r="A2" s="7"/>
      <c r="B2" s="8"/>
    </row>
    <row r="3" spans="1:2" ht="15" customHeight="1" x14ac:dyDescent="0.25">
      <c r="A3" s="7" t="s">
        <v>134</v>
      </c>
      <c r="B3" s="8" t="s">
        <v>135</v>
      </c>
    </row>
    <row r="4" spans="1:2" ht="15" customHeight="1" x14ac:dyDescent="0.25">
      <c r="A4" s="7"/>
      <c r="B4" s="8" t="s">
        <v>136</v>
      </c>
    </row>
    <row r="5" spans="1:2" ht="15" customHeight="1" x14ac:dyDescent="0.25">
      <c r="A5" s="7"/>
      <c r="B5" s="8"/>
    </row>
    <row r="6" spans="1:2" ht="15" customHeight="1" x14ac:dyDescent="0.25">
      <c r="A6" s="7" t="s">
        <v>137</v>
      </c>
      <c r="B6" s="8" t="s">
        <v>138</v>
      </c>
    </row>
    <row r="7" spans="1:2" ht="15" customHeight="1" x14ac:dyDescent="0.25">
      <c r="A7" s="7" t="s">
        <v>139</v>
      </c>
      <c r="B7" s="8" t="s">
        <v>140</v>
      </c>
    </row>
    <row r="8" spans="1:2" ht="15" customHeight="1" x14ac:dyDescent="0.25">
      <c r="A8" s="7"/>
      <c r="B8" s="8"/>
    </row>
    <row r="9" spans="1:2" ht="15" customHeight="1" x14ac:dyDescent="0.25">
      <c r="A9" s="7" t="s">
        <v>141</v>
      </c>
      <c r="B9" s="8" t="s">
        <v>142</v>
      </c>
    </row>
    <row r="10" spans="1:2" ht="15" customHeight="1" x14ac:dyDescent="0.25">
      <c r="A10" s="7"/>
      <c r="B10" s="8"/>
    </row>
    <row r="11" spans="1:2" ht="15" customHeight="1" x14ac:dyDescent="0.25">
      <c r="A11" s="7" t="s">
        <v>143</v>
      </c>
      <c r="B11" s="8" t="s">
        <v>144</v>
      </c>
    </row>
    <row r="12" spans="1:2" ht="15" customHeight="1" x14ac:dyDescent="0.25">
      <c r="A12" s="7" t="s">
        <v>145</v>
      </c>
      <c r="B12" s="8" t="s">
        <v>146</v>
      </c>
    </row>
    <row r="13" spans="1:2" ht="15" customHeight="1" x14ac:dyDescent="0.25">
      <c r="A13" s="7" t="s">
        <v>147</v>
      </c>
      <c r="B13" s="8" t="s">
        <v>148</v>
      </c>
    </row>
    <row r="14" spans="1:2" ht="15" customHeight="1" x14ac:dyDescent="0.25">
      <c r="A14" s="7" t="s">
        <v>149</v>
      </c>
      <c r="B14" s="8" t="s">
        <v>150</v>
      </c>
    </row>
    <row r="15" spans="1:2" ht="15" customHeight="1" x14ac:dyDescent="0.25">
      <c r="A15" s="7"/>
      <c r="B15" s="8"/>
    </row>
    <row r="16" spans="1:2" ht="15" customHeight="1" x14ac:dyDescent="0.25">
      <c r="A16" s="7" t="s">
        <v>151</v>
      </c>
      <c r="B16" s="8" t="s">
        <v>152</v>
      </c>
    </row>
    <row r="17" spans="1:2" ht="15" customHeight="1" x14ac:dyDescent="0.25">
      <c r="A17" s="7"/>
      <c r="B17" s="8"/>
    </row>
    <row r="18" spans="1:2" ht="15" customHeight="1" x14ac:dyDescent="0.25">
      <c r="A18" s="7" t="s">
        <v>153</v>
      </c>
      <c r="B18" s="8" t="s">
        <v>154</v>
      </c>
    </row>
    <row r="19" spans="1:2" ht="15" customHeight="1" x14ac:dyDescent="0.25">
      <c r="A19" s="7"/>
      <c r="B19" s="8" t="s">
        <v>155</v>
      </c>
    </row>
    <row r="20" spans="1:2" ht="15" customHeight="1" x14ac:dyDescent="0.25">
      <c r="A20" s="7"/>
      <c r="B20" s="8"/>
    </row>
    <row r="21" spans="1:2" ht="15" customHeight="1" x14ac:dyDescent="0.25">
      <c r="A21" s="7" t="s">
        <v>156</v>
      </c>
      <c r="B21" s="8" t="s">
        <v>157</v>
      </c>
    </row>
    <row r="22" spans="1:2" ht="15" customHeight="1" x14ac:dyDescent="0.25">
      <c r="A22" s="7"/>
      <c r="B22" s="8" t="s">
        <v>158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System_A</vt:lpstr>
      <vt:lpstr>System_B</vt:lpstr>
      <vt:lpstr>Reconciliation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Amin, Mohammed</cp:lastModifiedBy>
  <dcterms:created xsi:type="dcterms:W3CDTF">2026-05-18T09:29:20Z</dcterms:created>
  <dcterms:modified xsi:type="dcterms:W3CDTF">2026-06-05T16:53:20Z</dcterms:modified>
</cp:coreProperties>
</file>